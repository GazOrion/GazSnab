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User1\Desktop\GazSnab\public\прайсы\"/>
    </mc:Choice>
  </mc:AlternateContent>
  <xr:revisionPtr revIDLastSave="0" documentId="13_ncr:1_{61DBBD89-419C-4095-A14C-8364A2455E99}" xr6:coauthVersionLast="47" xr6:coauthVersionMax="47" xr10:uidLastSave="{00000000-0000-0000-0000-000000000000}"/>
  <bookViews>
    <workbookView xWindow="-120" yWindow="-120" windowWidth="29040" windowHeight="15840" firstSheet="1" activeTab="1" xr2:uid="{00000000-000D-0000-FFFF-FFFF00000000}"/>
  </bookViews>
  <sheets>
    <sheet name="Лист1" sheetId="1" r:id="rId1"/>
    <sheet name="Лист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4" i="2" l="1"/>
  <c r="C41" i="2"/>
  <c r="D91" i="1" l="1"/>
  <c r="D86" i="1"/>
  <c r="D81" i="1"/>
  <c r="D76" i="1"/>
  <c r="D60" i="1"/>
  <c r="D106" i="1"/>
  <c r="D103" i="1"/>
  <c r="D99" i="1"/>
  <c r="D96" i="1"/>
  <c r="D94" i="1"/>
  <c r="D89" i="1"/>
  <c r="D84" i="1"/>
  <c r="D79" i="1"/>
  <c r="D74" i="1"/>
  <c r="D20" i="1"/>
  <c r="D17" i="1"/>
  <c r="D5" i="1"/>
  <c r="D252" i="1"/>
  <c r="D254" i="1"/>
  <c r="D256" i="1"/>
  <c r="D258" i="1"/>
  <c r="D260" i="1"/>
  <c r="D262" i="1"/>
  <c r="D264" i="1"/>
  <c r="D266" i="1"/>
  <c r="D268" i="1"/>
  <c r="D270" i="1"/>
  <c r="D272" i="1"/>
  <c r="D274" i="1"/>
  <c r="D276" i="1"/>
  <c r="D278" i="1"/>
  <c r="D280" i="1"/>
  <c r="D288" i="1"/>
  <c r="D290" i="1"/>
  <c r="D292" i="1"/>
  <c r="D250" i="1"/>
  <c r="D239" i="1"/>
  <c r="D240" i="1"/>
  <c r="D241" i="1"/>
  <c r="D242" i="1"/>
  <c r="D243" i="1"/>
  <c r="D244" i="1"/>
  <c r="D245" i="1"/>
  <c r="D246" i="1"/>
  <c r="D247" i="1"/>
  <c r="D248" i="1"/>
  <c r="D238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01" i="1"/>
  <c r="D194" i="1"/>
  <c r="D179" i="1"/>
  <c r="D175" i="1"/>
  <c r="D173" i="1"/>
  <c r="D172" i="1"/>
  <c r="D169" i="1"/>
  <c r="D167" i="1"/>
  <c r="D164" i="1"/>
  <c r="D161" i="1"/>
  <c r="D159" i="1"/>
  <c r="D157" i="1"/>
  <c r="D155" i="1"/>
  <c r="D151" i="1"/>
  <c r="D148" i="1"/>
  <c r="D146" i="1"/>
  <c r="D143" i="1"/>
  <c r="D141" i="1"/>
  <c r="D139" i="1"/>
  <c r="D135" i="1"/>
  <c r="D131" i="1"/>
  <c r="D128" i="1"/>
  <c r="D125" i="1"/>
  <c r="D122" i="1"/>
  <c r="D110" i="1"/>
  <c r="D56" i="1"/>
  <c r="D53" i="1"/>
  <c r="D43" i="1"/>
  <c r="D37" i="1"/>
  <c r="D33" i="1"/>
  <c r="D296" i="1"/>
  <c r="D297" i="1"/>
  <c r="D298" i="1"/>
  <c r="D299" i="1"/>
  <c r="D295" i="1"/>
</calcChain>
</file>

<file path=xl/sharedStrings.xml><?xml version="1.0" encoding="utf-8"?>
<sst xmlns="http://schemas.openxmlformats.org/spreadsheetml/2006/main" count="755" uniqueCount="340">
  <si>
    <t>Наименование изделия и краткие технические характеристики</t>
  </si>
  <si>
    <r>
      <t>1.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Приборы измерения объема газа</t>
    </r>
  </si>
  <si>
    <t>Счетчик газа СМТ-Смарт G4</t>
  </si>
  <si>
    <t>Qmin 0,04 м3/ч; Qmax 7 м3/ч</t>
  </si>
  <si>
    <t>штуцер ø1¼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</si>
  <si>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Измерение объема природного газ, приведённого к стандартным условиям (температура плюс 20 °С, давление 101,3 кПа).   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</si>
  <si>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Прямой метод измерения,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</si>
  <si>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Встроенная система телеметрии на базе GPRS модема.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</si>
  <si>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Пульт диспетчера верхнего уровня ПТК «Газсеть»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</si>
  <si>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Режим работы телеметрии </t>
    </r>
    <r>
      <rPr>
        <b/>
        <sz val="8"/>
        <color theme="1"/>
        <rFont val="Segoe UI"/>
        <family val="2"/>
        <charset val="204"/>
      </rPr>
      <t>1 раз в 10 дней, 1 раз в месяц,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</si>
  <si>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Оптический интерфейс,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</si>
  <si>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Архивирование данных,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</si>
  <si>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Защита от несанкционированных внешних воздействий,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</si>
  <si>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Система самодиагностики работы счетчика,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</si>
  <si>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Программное обеспечение с полной интеграцией в системы верхнего уровня РГК,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</si>
  <si>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Различные варианты монтажа (направление потока газа слева, справа, сверху, снизу).</t>
    </r>
  </si>
  <si>
    <t>Счетчик газа СМТ-Смарт G6</t>
  </si>
  <si>
    <t>Qmin 0,06 м3/ч; Qmax 11 м3/ч</t>
  </si>
  <si>
    <t>Счетчик газа СМТ-Смарт G10</t>
  </si>
  <si>
    <t>Qmin 0,1 м3/ч; Qmax 18 м3/ч</t>
  </si>
  <si>
    <t>Счетчик газа СМТ-Смарт G4-У-УВ</t>
  </si>
  <si>
    <t xml:space="preserve">                           Точность показания    </t>
  </si>
  <si>
    <t>Счетчик газа СМТ-Смарт G6-У</t>
  </si>
  <si>
    <t xml:space="preserve">                          Точность показания    </t>
  </si>
  <si>
    <t>Счетчик газа СМТ-Смарт G4-В</t>
  </si>
  <si>
    <t>Под вынос внешней антенны</t>
  </si>
  <si>
    <t>Счетчик газа СМТ-Смарт G6-В</t>
  </si>
  <si>
    <r>
      <t>1.2.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>Счетчики газа микротермальный СМТ-Смарт-К</t>
    </r>
  </si>
  <si>
    <t>Счетчики газа микротермальный СМТ-Смарт-К G4</t>
  </si>
  <si>
    <t>Qmin 0,04 м3/ч; Qmax 6 м3/ч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</si>
  <si>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Измерение объема природного газа, приведённого к стандартным условиям (температура плюс 20 °С, давление 101,3 кПа).   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</si>
  <si>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b/>
        <sz val="8"/>
        <color theme="1"/>
        <rFont val="Segoe UI"/>
        <family val="2"/>
        <charset val="204"/>
      </rPr>
      <t>Встроенный запорный клапан,</t>
    </r>
  </si>
  <si>
    <t>Счетчики газа микротермальный  СМТ-Смарт-К G6</t>
  </si>
  <si>
    <t>Qmin 0,06 м3/ч; Qmax 10 м3/ч</t>
  </si>
  <si>
    <t>Счетчики газа микротермальный  СМТ-Смарт-К G10</t>
  </si>
  <si>
    <t>Qmin 0,1 м3/ч; Qmax 16 м3/ч</t>
  </si>
  <si>
    <t xml:space="preserve">штуцер ø1¼ </t>
  </si>
  <si>
    <r>
      <t>1.3.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>Комплексы учета газа СМТ-Комплекс</t>
    </r>
  </si>
  <si>
    <t>Счетчик газа микротермальный СМТ-Комплекс G4</t>
  </si>
  <si>
    <t>Фланец ДУ 40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</si>
  <si>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Измерение объема природного газа, приведённого к стандартным условиям (температура плюс 20 °С, давление 101,3 кПа).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</si>
  <si>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Встроенная система телеметрии на базе GSM/GPRS модема.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</si>
  <si>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Режим работы телеметрии </t>
    </r>
    <r>
      <rPr>
        <b/>
        <sz val="8"/>
        <color theme="1"/>
        <rFont val="Segoe UI"/>
        <family val="2"/>
        <charset val="204"/>
      </rPr>
      <t>1 раз в сутки, 1 раз в 10 дней, 1 раз в месяц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</si>
  <si>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b/>
        <sz val="8"/>
        <color theme="1"/>
        <rFont val="Segoe UI"/>
        <family val="2"/>
        <charset val="204"/>
      </rPr>
      <t>Возможность подключения внешней системы телеметрии с поддержкой CSD канала 24 часа в сутки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</si>
  <si>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Система самодиагностики работы комплекса,</t>
    </r>
  </si>
  <si>
    <t xml:space="preserve">Счетчик газа микротермальный СМТ-Комплекс G4 </t>
  </si>
  <si>
    <t>Счетчик газа микротермальный СМТ-Комплекс G6</t>
  </si>
  <si>
    <t>Счетчик газа микротермальный СМТ-Комплекс G10</t>
  </si>
  <si>
    <t>Счетчик газа микротермальный СМТ-Комплекс G16</t>
  </si>
  <si>
    <t>Qmin 0,16 м3/ч; Qmax 28 м3/ч</t>
  </si>
  <si>
    <t>Счетчик газа микротермальный СМТ-Комплекс G25</t>
  </si>
  <si>
    <t>Qmin 0,25 м3/ч; Qmax 45 м3/ч</t>
  </si>
  <si>
    <t>Счетчик газа микротермальный СМТ-Комплекс G40</t>
  </si>
  <si>
    <t>Qmin 0,40 м3/ч; Qmax 72 м3/ч</t>
  </si>
  <si>
    <t>Фланец ДУ 50</t>
  </si>
  <si>
    <t>Счетчик газа микротермальный СМТ-Комплекс G40-2</t>
  </si>
  <si>
    <t>Фланец ДУ 80</t>
  </si>
  <si>
    <r>
      <t>*</t>
    </r>
    <r>
      <rPr>
        <b/>
        <i/>
        <sz val="6"/>
        <color rgb="FF000000"/>
        <rFont val="Segoe UI"/>
        <family val="2"/>
        <charset val="204"/>
      </rPr>
      <t>для замены диафрагменных счетчиков газа с линейным размером 570мм и присоединением типа Фланец ДУ 80 без проведения сварочных работ</t>
    </r>
  </si>
  <si>
    <t>Счетчик газа микротермальный СМТ-Комплекс G65</t>
  </si>
  <si>
    <t>Qmin 0,65 м3/ч; Qmax 110 м3/ч</t>
  </si>
  <si>
    <t>Счетчик газа микротермальный СМТ-Комплекс G100</t>
  </si>
  <si>
    <t>Qmin 1,1 м3/ч; Qmax 176 м3/ч</t>
  </si>
  <si>
    <r>
      <t>1.4.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 xml:space="preserve">Счетчики газа микротермальный СМТ-Комплекс-К </t>
    </r>
  </si>
  <si>
    <t>Счетчик газа микротермальный СМТ-Комплекс-К G4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</si>
  <si>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Измерение объема природного газа, приведённого к стандартным условиям (температура плюс 20 °С, давление 101,3 кПа).  </t>
    </r>
    <r>
      <rPr>
        <sz val="9"/>
        <color theme="1"/>
        <rFont val="Segoe UI"/>
        <family val="2"/>
        <charset val="204"/>
      </rPr>
      <t xml:space="preserve">  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</si>
  <si>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Методическая коррекция по t=20</t>
    </r>
    <r>
      <rPr>
        <sz val="8"/>
        <color theme="1"/>
        <rFont val="Cambria Math"/>
        <family val="1"/>
        <charset val="204"/>
      </rPr>
      <t>℃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</si>
  <si>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Методическая коррекция по P=101,3КПа,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</si>
  <si>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Рmax 20Кпа (рабочее избыточное),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</si>
  <si>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 xml:space="preserve">Режим работы телеметрии </t>
    </r>
    <r>
      <rPr>
        <b/>
        <sz val="8"/>
        <color theme="1"/>
        <rFont val="Segoe UI"/>
        <family val="2"/>
        <charset val="204"/>
      </rPr>
      <t>1 раз в сутки</t>
    </r>
    <r>
      <rPr>
        <sz val="8"/>
        <color theme="1"/>
        <rFont val="Segoe UI"/>
        <family val="2"/>
        <charset val="204"/>
      </rPr>
      <t xml:space="preserve"> </t>
    </r>
    <r>
      <rPr>
        <b/>
        <sz val="8"/>
        <color theme="1"/>
        <rFont val="Segoe UI"/>
        <family val="2"/>
        <charset val="204"/>
      </rPr>
      <t>1 раз в 10 дней, 1 раз в месяц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</si>
  <si>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 </t>
    </r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</si>
  <si>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Программное обеспечение с полной интеграцией в системы верхнего уровня РГК,</t>
    </r>
  </si>
  <si>
    <t>Счетчик газа микротермальный СМТ-Комплекс-К G6</t>
  </si>
  <si>
    <t>Счетчик газа микротермальный СМТ-Комплекс-К G10</t>
  </si>
  <si>
    <t>Счетчик газа микротермальный СМТ-Комплекс-К G16</t>
  </si>
  <si>
    <t>Qmin 0,16 м3/ч; Qmax 25 м3/ч</t>
  </si>
  <si>
    <t>Счетчик газа микротермальный СМТ-Комплекс-К G25</t>
  </si>
  <si>
    <t>Qmin 0,25 м3/ч; Qmax 40 м3/ч</t>
  </si>
  <si>
    <r>
      <t>2.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Блоки питания БПЭК.</t>
    </r>
  </si>
  <si>
    <t>Блок питания БПЭК-02/М</t>
  </si>
  <si>
    <t xml:space="preserve">До октября 2023 г. </t>
  </si>
  <si>
    <r>
      <t xml:space="preserve">модуль телеметрии с функцией источника питания и барьером искрозащиты для интерфейса корректора </t>
    </r>
    <r>
      <rPr>
        <b/>
        <sz val="8"/>
        <color rgb="FF000000"/>
        <rFont val="Segoe UI"/>
        <family val="2"/>
        <charset val="204"/>
      </rPr>
      <t>ЕК260, EK270;</t>
    </r>
    <r>
      <rPr>
        <sz val="8"/>
        <color rgb="FF000000"/>
        <rFont val="Segoe UI"/>
        <family val="2"/>
        <charset val="204"/>
      </rPr>
      <t xml:space="preserve"> встроенный преобразователь интерфейса RS232/485 для связи с компьютером, модемом, принтером.</t>
    </r>
  </si>
  <si>
    <r>
      <t>3.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Коммуникационные модули БПЭК</t>
    </r>
  </si>
  <si>
    <t>Коммуникационный модуль</t>
  </si>
  <si>
    <t>БПЭК-02/МТ</t>
  </si>
  <si>
    <r>
      <t>модуль телеметрий с функцией источника питания для корректоров</t>
    </r>
    <r>
      <rPr>
        <b/>
        <sz val="8"/>
        <color rgb="FF000000"/>
        <rFont val="Segoe UI"/>
        <family val="2"/>
        <charset val="204"/>
      </rPr>
      <t xml:space="preserve"> ЕК260, ЕК270;</t>
    </r>
    <r>
      <rPr>
        <sz val="8"/>
        <color rgb="FF000000"/>
        <rFont val="Segoe UI"/>
        <family val="2"/>
        <charset val="204"/>
      </rPr>
      <t xml:space="preserve"> барьеры искрозащиты, встроенный GSM/GPRS-модем и источник резервного питания для корректора и модема.</t>
    </r>
  </si>
  <si>
    <t>БПЭК-02/МТ с МР270</t>
  </si>
  <si>
    <r>
      <t>Модуль телеметрии с функцией источника питания для корректора</t>
    </r>
    <r>
      <rPr>
        <b/>
        <sz val="8"/>
        <color rgb="FF000000"/>
        <rFont val="Segoe UI"/>
        <family val="2"/>
        <charset val="204"/>
      </rPr>
      <t xml:space="preserve"> ЕК260, ЕК270</t>
    </r>
    <r>
      <rPr>
        <strike/>
        <sz val="8"/>
        <color rgb="FF000000"/>
        <rFont val="Segoe UI"/>
        <family val="2"/>
        <charset val="204"/>
      </rPr>
      <t xml:space="preserve">; </t>
    </r>
    <r>
      <rPr>
        <sz val="8"/>
        <color rgb="FF000000"/>
        <rFont val="Segoe UI"/>
        <family val="2"/>
        <charset val="204"/>
      </rPr>
      <t>барьер искрозащиты, встроенный GSM/GPRS -модем и источник резервного электропитания для корректора и модема, модуль функционального расширения МP270 для дополнительного подключения к двум устройствам с интерфейсом RS232</t>
    </r>
  </si>
  <si>
    <t xml:space="preserve">Коммуникационный модуль </t>
  </si>
  <si>
    <t>БПЭК-02/МТ (TCP)</t>
  </si>
  <si>
    <r>
      <t>Модуль телеметрии с функцией источника питания для корректора</t>
    </r>
    <r>
      <rPr>
        <b/>
        <sz val="8"/>
        <color rgb="FF000000"/>
        <rFont val="Segoe UI"/>
        <family val="2"/>
        <charset val="204"/>
      </rPr>
      <t xml:space="preserve"> ЕК260, ЕК270</t>
    </r>
    <r>
      <rPr>
        <strike/>
        <sz val="8"/>
        <color rgb="FF000000"/>
        <rFont val="Segoe UI"/>
        <family val="2"/>
        <charset val="204"/>
      </rPr>
      <t xml:space="preserve">; </t>
    </r>
    <r>
      <rPr>
        <sz val="8"/>
        <color rgb="FF000000"/>
        <rFont val="Segoe UI"/>
        <family val="2"/>
        <charset val="204"/>
      </rPr>
      <t xml:space="preserve">барьер искрозащиты, встроенный GSM/GPRS -модем и источник резервного электропитания для корректора и модема, модуль функционального расширения МP270 для дополнительного подключения к двум устройствам с интерфейсом RS232. </t>
    </r>
    <r>
      <rPr>
        <b/>
        <sz val="8"/>
        <color rgb="FF000000"/>
        <rFont val="Segoe UI"/>
        <family val="2"/>
        <charset val="204"/>
      </rPr>
      <t>С поддержкой протокола передачи данных TCP/IP.</t>
    </r>
  </si>
  <si>
    <t>БПЭК-04/ЕК</t>
  </si>
  <si>
    <r>
      <t xml:space="preserve">Автономный модуль телеметрии для корректоров </t>
    </r>
    <r>
      <rPr>
        <b/>
        <sz val="8"/>
        <color rgb="FF000000"/>
        <rFont val="Segoe UI"/>
        <family val="2"/>
        <charset val="204"/>
      </rPr>
      <t xml:space="preserve">ЕК260, ЕК270;  </t>
    </r>
    <r>
      <rPr>
        <sz val="8"/>
        <color rgb="FF000000"/>
        <rFont val="Segoe UI"/>
        <family val="2"/>
        <charset val="204"/>
      </rPr>
      <t>барьер искрозащиты, встроенный GSM/GPRS-модем с автономным питанием от внутренних батарей</t>
    </r>
  </si>
  <si>
    <t xml:space="preserve">БПЭК-04/ТС </t>
  </si>
  <si>
    <t>Остатки</t>
  </si>
  <si>
    <r>
      <t xml:space="preserve">Автономный модуль телеметрии для корректора </t>
    </r>
    <r>
      <rPr>
        <b/>
        <sz val="8"/>
        <color rgb="FF000000"/>
        <rFont val="Segoe UI"/>
        <family val="2"/>
        <charset val="204"/>
      </rPr>
      <t xml:space="preserve">ТС220; </t>
    </r>
    <r>
      <rPr>
        <sz val="8"/>
        <color rgb="FF000000"/>
        <rFont val="Segoe UI"/>
        <family val="2"/>
        <charset val="204"/>
      </rPr>
      <t xml:space="preserve"> барьер искрозащиты, встроенный GSM/GPRS-модем с автономным питанием от внутренних батарей</t>
    </r>
  </si>
  <si>
    <t>БПЭК-04Ех</t>
  </si>
  <si>
    <t xml:space="preserve">До Октября </t>
  </si>
  <si>
    <r>
      <t xml:space="preserve">Автономный модуль телеметрии для корректоров </t>
    </r>
    <r>
      <rPr>
        <b/>
        <sz val="8"/>
        <color rgb="FF000000"/>
        <rFont val="Segoe UI"/>
        <family val="2"/>
        <charset val="204"/>
      </rPr>
      <t>TC220, ЕК260, ЕК270</t>
    </r>
    <r>
      <rPr>
        <sz val="8"/>
        <color rgb="FF000000"/>
        <rFont val="Segoe UI"/>
        <family val="2"/>
        <charset val="204"/>
      </rPr>
      <t>; барьер искрозащиты, встроенный GSM/GPRS-модем с автономным питанием от внутренних батарей, возможность установки во взрывоопасной зоне (внутри шкафных и блочных пунктов учета и редуцирования газа)</t>
    </r>
  </si>
  <si>
    <t xml:space="preserve">БПЭК-04Ех (ФЛОУГАЗ) </t>
  </si>
  <si>
    <r>
      <t xml:space="preserve">Автономный модуль телеметрии для корректоров </t>
    </r>
    <r>
      <rPr>
        <b/>
        <sz val="8"/>
        <color rgb="FF000000"/>
        <rFont val="Segoe UI"/>
        <family val="2"/>
        <charset val="204"/>
      </rPr>
      <t xml:space="preserve">ФЛОУГАЗ, ФЛОУГАЗ-Т </t>
    </r>
    <r>
      <rPr>
        <sz val="8"/>
        <color rgb="FF000000"/>
        <rFont val="Segoe UI"/>
        <family val="2"/>
        <charset val="204"/>
      </rPr>
      <t>; барьер искрозащиты, встроенный GSM/GPRS-модем с автономным питанием от внутренних батарей, возможность установки во взрывоопасной зоне (внутри шкафных и блочных пунктов учета и редуцирования газа)</t>
    </r>
  </si>
  <si>
    <t>БПЭК-05/ТМ (ИРВИС)</t>
  </si>
  <si>
    <r>
      <t xml:space="preserve">Модуль телеметрии с функцией источника питания для корректоров </t>
    </r>
    <r>
      <rPr>
        <b/>
        <sz val="8"/>
        <color rgb="FF000000"/>
        <rFont val="Segoe UI"/>
        <family val="2"/>
        <charset val="204"/>
      </rPr>
      <t>Ирвис;</t>
    </r>
    <r>
      <rPr>
        <sz val="8"/>
        <color rgb="FF000000"/>
        <rFont val="Segoe UI"/>
        <family val="2"/>
        <charset val="204"/>
      </rPr>
      <t xml:space="preserve"> установленных вне взрывоопасной зоны, встроенный GSM/</t>
    </r>
    <r>
      <rPr>
        <b/>
        <sz val="8"/>
        <color rgb="FF000000"/>
        <rFont val="Segoe UI"/>
        <family val="2"/>
        <charset val="204"/>
      </rPr>
      <t>GPRS</t>
    </r>
    <r>
      <rPr>
        <sz val="8"/>
        <color rgb="FF000000"/>
        <rFont val="Segoe UI"/>
        <family val="2"/>
        <charset val="204"/>
      </rPr>
      <t>-модем</t>
    </r>
  </si>
  <si>
    <t>Модуль функционального расширения МР 270</t>
  </si>
  <si>
    <r>
      <t xml:space="preserve">Модуль функционального расширения для подключения интерфейса постоянного подключения к корректору </t>
    </r>
    <r>
      <rPr>
        <b/>
        <sz val="8"/>
        <color rgb="FF000000"/>
        <rFont val="Segoe UI"/>
        <family val="2"/>
        <charset val="204"/>
      </rPr>
      <t>ЕК260, ЕК270</t>
    </r>
    <r>
      <rPr>
        <sz val="8"/>
        <color rgb="FF000000"/>
        <rFont val="Segoe UI"/>
        <family val="2"/>
        <charset val="204"/>
      </rPr>
      <t xml:space="preserve"> к двум устройствам с интерфейсом RS232/485</t>
    </r>
  </si>
  <si>
    <r>
      <t>4.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Цифровые коммуникационные блоки БПЭК</t>
    </r>
  </si>
  <si>
    <t>Цифровой коммуникационный блок БПЭК-02/ЦК</t>
  </si>
  <si>
    <r>
      <t>Модуль телеметрии с функцией источника питания для корректоров</t>
    </r>
    <r>
      <rPr>
        <b/>
        <sz val="8"/>
        <color rgb="FF000000"/>
        <rFont val="Segoe UI"/>
        <family val="2"/>
        <charset val="204"/>
      </rPr>
      <t xml:space="preserve"> ЕК260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>ЕК270, ЕК280, ЕК290, ТС220, Флоугаз, Флоугаз-Т, Ultramag, БК, СПГ-74х</t>
    </r>
  </si>
  <si>
    <r>
      <t>Модуль телеметрии (без обеспечения питания) для корректоров</t>
    </r>
    <r>
      <rPr>
        <b/>
        <sz val="8"/>
        <color rgb="FF000000"/>
        <rFont val="Segoe UI"/>
        <family val="2"/>
        <charset val="204"/>
      </rPr>
      <t xml:space="preserve"> FIOWSIC500, FLOW-Х, Ирвис, Turbo Flow UFG ВТ, Turbo Flow UFG РШ, Гобой -1М, Гобой -2М, Гобой 1 СПГ-76х</t>
    </r>
  </si>
  <si>
    <r>
      <t xml:space="preserve">барьер искрозащиты, микроконтроллер и встроенный модуль памяти устройства, встроенный GSM/GPRS –модем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>источник резервного электропитания до 5-ти суток</t>
    </r>
    <r>
      <rPr>
        <sz val="8"/>
        <color rgb="FF000000"/>
        <rFont val="Segoe UI"/>
        <family val="2"/>
        <charset val="204"/>
      </rPr>
      <t xml:space="preserve"> для корректора и модема, проводной интерфейс </t>
    </r>
    <r>
      <rPr>
        <b/>
        <sz val="8"/>
        <color rgb="FF000000"/>
        <rFont val="Segoe UI"/>
        <family val="2"/>
        <charset val="204"/>
      </rPr>
      <t xml:space="preserve">USB. </t>
    </r>
    <r>
      <rPr>
        <sz val="8"/>
        <color rgb="FF000000"/>
        <rFont val="Segoe UI"/>
        <family val="2"/>
        <charset val="204"/>
      </rPr>
      <t>4 дискретных входа.</t>
    </r>
    <r>
      <rPr>
        <b/>
        <sz val="8"/>
        <color rgb="FF000000"/>
        <rFont val="Segoe UI"/>
        <family val="2"/>
        <charset val="204"/>
      </rPr>
      <t xml:space="preserve"> </t>
    </r>
    <r>
      <rPr>
        <sz val="8"/>
        <color rgb="FF000000"/>
        <rFont val="Segoe UI"/>
        <family val="2"/>
        <charset val="204"/>
      </rPr>
      <t>модем.</t>
    </r>
  </si>
  <si>
    <t>Цифровой коммуникационный блок БПЭК-02/ЦК-Ультра</t>
  </si>
  <si>
    <r>
      <t xml:space="preserve">Модуль телеметрии с функцией источника питания для ультразвуковых узлов учета газа </t>
    </r>
    <r>
      <rPr>
        <b/>
        <sz val="8"/>
        <color rgb="FF000000"/>
        <rFont val="Segoe UI"/>
        <family val="2"/>
        <charset val="204"/>
      </rPr>
      <t>FLOWSIC500, FLOWSIC600, Turbo Flow UFG</t>
    </r>
  </si>
  <si>
    <r>
      <t xml:space="preserve">Модуль телеметрии (без обеспечения питания) для ультразвуковых узлов учета газа </t>
    </r>
    <r>
      <rPr>
        <b/>
        <sz val="8"/>
        <color rgb="FF000000"/>
        <rFont val="Segoe UI"/>
        <family val="2"/>
        <charset val="204"/>
      </rPr>
      <t>FLOW-Х, Turbo Flow UFG ВТ, Turbo Flow UFG РШ, Гобой -1М, Гобой -2М, Гобой 1</t>
    </r>
  </si>
  <si>
    <r>
      <t xml:space="preserve">барьер искрозащиты, микроконтроллер и встроенный модуль памяти устройства, встроенный GSM/GPRS –модем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>источник резервного электропитания до 5-ти суток</t>
    </r>
    <r>
      <rPr>
        <sz val="8"/>
        <color rgb="FF000000"/>
        <rFont val="Segoe UI"/>
        <family val="2"/>
        <charset val="204"/>
      </rPr>
      <t xml:space="preserve"> для корректора и модема, проводной интерфейс </t>
    </r>
    <r>
      <rPr>
        <b/>
        <sz val="8"/>
        <color rgb="FF000000"/>
        <rFont val="Segoe UI"/>
        <family val="2"/>
        <charset val="204"/>
      </rPr>
      <t xml:space="preserve">USB. </t>
    </r>
    <r>
      <rPr>
        <sz val="8"/>
        <color rgb="FF000000"/>
        <rFont val="Segoe UI"/>
        <family val="2"/>
        <charset val="204"/>
      </rPr>
      <t>4 дискретных входа.</t>
    </r>
  </si>
  <si>
    <t>Цифровой коммуникационный блок БПЭК-03/ЦК</t>
  </si>
  <si>
    <r>
      <t xml:space="preserve">Модуль телеметрии с функцией источника питания для корректора </t>
    </r>
    <r>
      <rPr>
        <b/>
        <sz val="8"/>
        <color rgb="FF000000"/>
        <rFont val="Segoe UI"/>
        <family val="2"/>
        <charset val="204"/>
      </rPr>
      <t xml:space="preserve">ТС220, Флоугаз-Т, БК, ВКГ-3Т </t>
    </r>
    <r>
      <rPr>
        <sz val="8"/>
        <color rgb="FF000000"/>
        <rFont val="Segoe UI"/>
        <family val="2"/>
        <charset val="204"/>
      </rPr>
      <t xml:space="preserve">барьер искрозащиты, микроконтроллер и встроенный модуль памяти устройства, встроенный GSM/GPRS –модем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>, проводной интерфейс</t>
    </r>
    <r>
      <rPr>
        <b/>
        <sz val="8"/>
        <color rgb="FF000000"/>
        <rFont val="Segoe UI"/>
        <family val="2"/>
        <charset val="204"/>
      </rPr>
      <t xml:space="preserve"> USB. </t>
    </r>
    <r>
      <rPr>
        <sz val="8"/>
        <color rgb="FF000000"/>
        <rFont val="Segoe UI"/>
        <family val="2"/>
        <charset val="204"/>
      </rPr>
      <t>4 дискретных входа.</t>
    </r>
  </si>
  <si>
    <t>Может применяться в качестве внешней системы телеметрии для Счетчиков газа микротермальных СМТ-Комплекс</t>
  </si>
  <si>
    <t xml:space="preserve">Цифровой коммуникационный блок БПЭК-05/ЦК </t>
  </si>
  <si>
    <r>
      <t>Модуль телеметрии с функцией источника питания для корректора</t>
    </r>
    <r>
      <rPr>
        <b/>
        <sz val="8"/>
        <color rgb="FF000000"/>
        <rFont val="Segoe UI"/>
        <family val="2"/>
        <charset val="204"/>
      </rPr>
      <t xml:space="preserve"> ЕК260, ЕК270, ЕК280, ЕК290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>ТС220, Флоугаз, Флоугаз-Т, Ultramag, БК, СПГ-74х</t>
    </r>
  </si>
  <si>
    <r>
      <t>Модуль телеметрии (без обеспечения питания) для корректоров</t>
    </r>
    <r>
      <rPr>
        <b/>
        <sz val="8"/>
        <color rgb="FF000000"/>
        <rFont val="Segoe UI"/>
        <family val="2"/>
        <charset val="204"/>
      </rPr>
      <t xml:space="preserve"> СПГ-76х, Ирвис, Гобой -1М, Гобой -2М, Гобой 1</t>
    </r>
  </si>
  <si>
    <r>
      <t>установленных вне взрывоопасной зоны, встроенный GSM/</t>
    </r>
    <r>
      <rPr>
        <b/>
        <sz val="8"/>
        <color rgb="FF000000"/>
        <rFont val="Segoe UI"/>
        <family val="2"/>
        <charset val="204"/>
      </rPr>
      <t>GPRS</t>
    </r>
    <r>
      <rPr>
        <sz val="8"/>
        <color rgb="FF000000"/>
        <rFont val="Segoe UI"/>
        <family val="2"/>
        <charset val="204"/>
      </rPr>
      <t xml:space="preserve">-модем,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>, проводной интерфейс</t>
    </r>
    <r>
      <rPr>
        <b/>
        <sz val="8"/>
        <color rgb="FF000000"/>
        <rFont val="Segoe UI"/>
        <family val="2"/>
        <charset val="204"/>
      </rPr>
      <t xml:space="preserve"> USB. </t>
    </r>
    <r>
      <rPr>
        <sz val="8"/>
        <color rgb="FF000000"/>
        <rFont val="Segoe UI"/>
        <family val="2"/>
        <charset val="204"/>
      </rPr>
      <t>4 дискретных входа.</t>
    </r>
  </si>
  <si>
    <t>Цифровой коммуникационный блок БПЭК-04/ЦК-Ех</t>
  </si>
  <si>
    <r>
      <t xml:space="preserve">Автономный модуль телеметрии для корректоров </t>
    </r>
    <r>
      <rPr>
        <b/>
        <sz val="8"/>
        <color rgb="FF000000"/>
        <rFont val="Segoe UI"/>
        <family val="2"/>
        <charset val="204"/>
      </rPr>
      <t>TC220, ЕК260, ЕК270, ЕК280, ЕК290, Флоугаз, Флоугаз-Т, Ultramag, БК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theme="1"/>
        <rFont val="Segoe UI"/>
        <family val="2"/>
        <charset val="204"/>
      </rPr>
      <t>FLOWSIC500, СПГ-741, СПГ-742, Turbo Flow UFG, Гобой -1М, Гобой -2М, Гобой 1</t>
    </r>
    <r>
      <rPr>
        <sz val="8"/>
        <color rgb="FF000000"/>
        <rFont val="Segoe UI"/>
        <family val="2"/>
        <charset val="204"/>
      </rPr>
      <t xml:space="preserve"> барьер искрозащиты, встроенный GSM/GPRS-модем с автономным питанием от внутренних батарей, возможность установки во взрывоопасной зоне (внутри шкафных и блочных пунктов учета и редуцирования газа), микроконтроллер и встроенный модуль памяти устройства, встроенный GSM/GPRS –модем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>, проводной интерфейс</t>
    </r>
    <r>
      <rPr>
        <b/>
        <sz val="8"/>
        <color rgb="FF000000"/>
        <rFont val="Segoe UI"/>
        <family val="2"/>
        <charset val="204"/>
      </rPr>
      <t xml:space="preserve"> USB. </t>
    </r>
    <r>
      <rPr>
        <sz val="8"/>
        <color rgb="FF000000"/>
        <rFont val="Segoe UI"/>
        <family val="2"/>
        <charset val="204"/>
      </rPr>
      <t>4 дискретных входа.</t>
    </r>
  </si>
  <si>
    <t>Цифровой коммуникационный блок БПЭК-04/ЦК</t>
  </si>
  <si>
    <r>
      <t xml:space="preserve">Автономный модуль телеметрии для корректоров </t>
    </r>
    <r>
      <rPr>
        <b/>
        <sz val="8"/>
        <color rgb="FF000000"/>
        <rFont val="Segoe UI"/>
        <family val="2"/>
        <charset val="204"/>
      </rPr>
      <t>TC220, ЕК260, ЕК270, ЕК280, ЕК290, Флоугаз, Флоугаз-Т, Ultramag, БК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 xml:space="preserve">FLOWSIC500, СПГ-741, СПГ-742, Turbo Flow UFG, Гобой -1М, Гобой -2М, Гобой 1;  </t>
    </r>
    <r>
      <rPr>
        <sz val="8"/>
        <color rgb="FF000000"/>
        <rFont val="Segoe UI"/>
        <family val="2"/>
        <charset val="204"/>
      </rPr>
      <t xml:space="preserve">барьер искрозащиты, встроенный GSM/GPRS-модем с автономным питанием от внутренних батарей, микроконтроллер и встроенный модуль памяти устройства, встроенный GSM/GPRS –модем с поддержкой </t>
    </r>
    <r>
      <rPr>
        <b/>
        <sz val="8"/>
        <color rgb="FF000000"/>
        <rFont val="Segoe UI"/>
        <family val="2"/>
        <charset val="204"/>
      </rPr>
      <t>2-х sim-карт</t>
    </r>
    <r>
      <rPr>
        <sz val="8"/>
        <color rgb="FF000000"/>
        <rFont val="Segoe UI"/>
        <family val="2"/>
        <charset val="204"/>
      </rPr>
      <t>, проводной интерфейс</t>
    </r>
    <r>
      <rPr>
        <b/>
        <sz val="8"/>
        <color rgb="FF000000"/>
        <rFont val="Segoe UI"/>
        <family val="2"/>
        <charset val="204"/>
      </rPr>
      <t xml:space="preserve"> USB. </t>
    </r>
    <r>
      <rPr>
        <sz val="8"/>
        <color rgb="FF000000"/>
        <rFont val="Segoe UI"/>
        <family val="2"/>
        <charset val="204"/>
      </rPr>
      <t>4 дискретных входа.</t>
    </r>
  </si>
  <si>
    <r>
      <t>5.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Модули телеметрии для счетчиков газа серии ВК</t>
    </r>
  </si>
  <si>
    <t xml:space="preserve">Модуль телеметрии </t>
  </si>
  <si>
    <t>ТМР-01</t>
  </si>
  <si>
    <r>
      <t xml:space="preserve">Автономный модуль телеметрии для сбора данных с диафрагменных счетчиков газа </t>
    </r>
    <r>
      <rPr>
        <b/>
        <sz val="8"/>
        <color rgb="FF000000"/>
        <rFont val="Segoe UI"/>
        <family val="2"/>
        <charset val="204"/>
      </rPr>
      <t>ВК типоразмера от G1.6(T) - 6(Т)</t>
    </r>
    <r>
      <rPr>
        <sz val="8"/>
        <color rgb="FF000000"/>
        <rFont val="Segoe UI"/>
        <family val="2"/>
        <charset val="204"/>
      </rPr>
      <t xml:space="preserve"> встроенный датчик импульсов, встроенный GSM/GPRS-модем</t>
    </r>
  </si>
  <si>
    <r>
      <t>6.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Программное обеспечение</t>
    </r>
  </si>
  <si>
    <t>6.1. Программное обеспечение для интерактивного сбора данных</t>
  </si>
  <si>
    <t>ПО «Газсеть: Стандарт»</t>
  </si>
  <si>
    <r>
      <t xml:space="preserve">Программное обеспечение (ПО) «Газсеть», редакция «Стандарт» предназначено для сбора, хранения и использования в прочих информационных системах данных корректоров, производства </t>
    </r>
    <r>
      <rPr>
        <b/>
        <sz val="8"/>
        <color rgb="FF000000"/>
        <rFont val="Segoe UI"/>
        <family val="2"/>
        <charset val="204"/>
      </rPr>
      <t>ООО «ЭЛЬСТЕР Газэлектроника» ООО ЭПО «Сигнал» ООО НПП «Ирвис» приборов учета СМТ-Смарт производства ООО «Техномер»</t>
    </r>
  </si>
  <si>
    <r>
      <t xml:space="preserve">ПО «Газсеть: Стандарт» даёт возможность собирать данные </t>
    </r>
    <r>
      <rPr>
        <b/>
        <sz val="8"/>
        <color rgb="FF000000"/>
        <rFont val="Segoe UI"/>
        <family val="2"/>
        <charset val="204"/>
      </rPr>
      <t>электронных корректоров</t>
    </r>
    <r>
      <rPr>
        <sz val="8"/>
        <color rgb="FF000000"/>
        <rFont val="Segoe UI"/>
        <family val="2"/>
        <charset val="204"/>
      </rPr>
      <t xml:space="preserve">, приборов учета </t>
    </r>
    <r>
      <rPr>
        <b/>
        <sz val="8"/>
        <color rgb="FF000000"/>
        <rFont val="Segoe UI"/>
        <family val="2"/>
        <charset val="204"/>
      </rPr>
      <t>СМТ- Смарт</t>
    </r>
    <r>
      <rPr>
        <sz val="8"/>
        <color rgb="FF000000"/>
        <rFont val="Segoe UI"/>
        <family val="2"/>
        <charset val="204"/>
      </rPr>
      <t xml:space="preserve">, как непосредственно на узлах учета, так и удаленно — через различные коммуникационные сети. Поддерживаются все производимые </t>
    </r>
    <r>
      <rPr>
        <b/>
        <sz val="8"/>
        <color rgb="FF000000"/>
        <rFont val="Segoe UI"/>
        <family val="2"/>
        <charset val="204"/>
      </rPr>
      <t>ООО «ЭЛЬСТЕР Газэлектроника»</t>
    </r>
    <r>
      <rPr>
        <sz val="8"/>
        <color rgb="FF000000"/>
        <rFont val="Segoe UI"/>
        <family val="2"/>
        <charset val="204"/>
      </rPr>
      <t xml:space="preserve"> </t>
    </r>
    <r>
      <rPr>
        <b/>
        <sz val="8"/>
        <color rgb="FF000000"/>
        <rFont val="Segoe UI"/>
        <family val="2"/>
        <charset val="204"/>
      </rPr>
      <t>ООО ЭПО «Сигнал» ООО НПП «Ирвис»</t>
    </r>
    <r>
      <rPr>
        <sz val="8"/>
        <color rgb="FF000000"/>
        <rFont val="Segoe UI"/>
        <family val="2"/>
        <charset val="204"/>
      </rPr>
      <t xml:space="preserve"> типы корректоров и приборы учета </t>
    </r>
    <r>
      <rPr>
        <b/>
        <sz val="8"/>
        <color rgb="FF000000"/>
        <rFont val="Segoe UI"/>
        <family val="2"/>
        <charset val="204"/>
      </rPr>
      <t xml:space="preserve">СМТ-Смарт </t>
    </r>
    <r>
      <rPr>
        <sz val="8"/>
        <color rgb="FF000000"/>
        <rFont val="Segoe UI"/>
        <family val="2"/>
        <charset val="204"/>
      </rPr>
      <t xml:space="preserve">производства </t>
    </r>
    <r>
      <rPr>
        <b/>
        <sz val="8"/>
        <color rgb="FF000000"/>
        <rFont val="Segoe UI"/>
        <family val="2"/>
        <charset val="204"/>
      </rPr>
      <t>ООО «Техномер».</t>
    </r>
  </si>
  <si>
    <t>ПО «Газсеть: Сервис»</t>
  </si>
  <si>
    <t>Программное обеспечение (ПО) «Газсеть», редакция «Сервис» включает в себя весь функционал, имеющийся ПО «Газсеть: Стандарт», а также доступ к сервисному режиму программного модуля «Газсеть – Опрос нового узла» для параметризации цифровых коммуникационных блоков серии БПЭК, счетчиков газа СМТ и модулей телеметрии ТМР-01.</t>
  </si>
  <si>
    <t>6.2. Программное обеспечение верхнего уровня,</t>
  </si>
  <si>
    <t>*Передача лицензионного права на использование ПО НДС не облагается согласно пп.26 п.2 ст.149 НК РФ</t>
  </si>
  <si>
    <t>Право на использование ПО «Газсеть: Экстра»</t>
  </si>
  <si>
    <t>Право на использование ПО «Газсеть: Экстра»</t>
  </si>
  <si>
    <t xml:space="preserve">Программное обеспечение (ПО) «Газсеть», редакция «Экстра» предназначено для: </t>
  </si>
  <si>
    <r>
      <t>1.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автоматизированного сбора, обработки, хранения и использования в прочих информационных системах данных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</si>
  <si>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8"/>
        <color rgb="FF000000"/>
        <rFont val="Segoe UI"/>
        <family val="2"/>
        <charset val="204"/>
      </rPr>
      <t xml:space="preserve"> с электронных корректоров семейства </t>
    </r>
    <r>
      <rPr>
        <b/>
        <sz val="8"/>
        <color rgb="FF000000"/>
        <rFont val="Segoe UI"/>
        <family val="2"/>
        <charset val="204"/>
      </rPr>
      <t xml:space="preserve">LIS200 (ЕК260-ЕК290, ТС210-ТС220), </t>
    </r>
    <r>
      <rPr>
        <sz val="8"/>
        <color rgb="FF000000"/>
        <rFont val="Segoe UI"/>
        <family val="2"/>
        <charset val="204"/>
      </rPr>
      <t xml:space="preserve">вычислителей </t>
    </r>
    <r>
      <rPr>
        <b/>
        <sz val="8"/>
        <color rgb="FF000000"/>
        <rFont val="Segoe UI"/>
        <family val="2"/>
        <charset val="204"/>
      </rPr>
      <t>СПГ, Флоугаз, Флоугаз-Т, Ирвис, ВКГ, БК, ультразвуковых расходомеров FLOWSIC500</t>
    </r>
    <r>
      <rPr>
        <sz val="8"/>
        <color rgb="FF000000"/>
        <rFont val="Segoe UI"/>
        <family val="2"/>
        <charset val="204"/>
      </rPr>
      <t xml:space="preserve">, </t>
    </r>
    <r>
      <rPr>
        <b/>
        <sz val="8"/>
        <color rgb="FF000000"/>
        <rFont val="Segoe UI"/>
        <family val="2"/>
        <charset val="204"/>
      </rPr>
      <t>FLOWSIC600, FLOW-Х, Turbo Flow UFG ВТ, Turbo Flow UFG РШ, Turbo Flow UFG, Гобой -1М, Гобой -2М, Гобой 1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</si>
  <si>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8"/>
        <color rgb="FF000000"/>
        <rFont val="Segoe UI"/>
        <family val="2"/>
        <charset val="204"/>
      </rPr>
      <t xml:space="preserve">Счётчиков газа </t>
    </r>
    <r>
      <rPr>
        <b/>
        <sz val="8"/>
        <color rgb="FF000000"/>
        <rFont val="Segoe UI"/>
        <family val="2"/>
        <charset val="204"/>
      </rPr>
      <t>BK-G1,6T-BK-G6T, СМТ-Смарт, СМТ-Комплекс</t>
    </r>
  </si>
  <si>
    <r>
      <t>·</t>
    </r>
    <r>
      <rPr>
        <sz val="7"/>
        <color rgb="FF000000"/>
        <rFont val="Times New Roman"/>
        <family val="1"/>
        <charset val="204"/>
      </rPr>
      <t xml:space="preserve">        </t>
    </r>
    <r>
      <rPr>
        <sz val="8"/>
        <color rgb="FF000000"/>
        <rFont val="Segoe UI"/>
        <family val="2"/>
        <charset val="204"/>
      </rPr>
      <t xml:space="preserve">Контроллеров </t>
    </r>
    <r>
      <rPr>
        <b/>
        <sz val="8"/>
        <color rgb="FF000000"/>
        <rFont val="Segoe UI"/>
        <family val="2"/>
        <charset val="204"/>
      </rPr>
      <t>КПРГ-06, БПЭК-04Ех, БПЭК-04/ЦК-Ех</t>
    </r>
  </si>
  <si>
    <r>
      <t>2.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Для обработки, анализа, представления отчётности о полученных данных;</t>
    </r>
  </si>
  <si>
    <r>
      <t>3.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 xml:space="preserve">Для экспорта данных в биллинговые системы </t>
    </r>
    <r>
      <rPr>
        <b/>
        <sz val="8"/>
        <color rgb="FF000000"/>
        <rFont val="Segoe UI"/>
        <family val="2"/>
        <charset val="204"/>
      </rPr>
      <t>(АИС: РНГ, АИС-Регионгаз)</t>
    </r>
    <r>
      <rPr>
        <sz val="8"/>
        <color rgb="FF000000"/>
        <rFont val="Segoe UI"/>
        <family val="2"/>
        <charset val="204"/>
      </rPr>
      <t xml:space="preserve"> и системы анализа баланса </t>
    </r>
    <r>
      <rPr>
        <b/>
        <sz val="8"/>
        <color rgb="FF000000"/>
        <rFont val="Segoe UI"/>
        <family val="2"/>
        <charset val="204"/>
      </rPr>
      <t>(ИУС-ГАЗ, СКАДА-АНТ)</t>
    </r>
  </si>
  <si>
    <t>В отличие от ПО «Газсеть: Стандарт», ориентированного, в большей степени, на собственников узлов учёта, ПО «Газсеть: Экстра» предназначено для работы с большим количеством установленных корректоров объёма газа и чаще применяется в региональных газовых компаниях для решения комплексных задач по учёту газа.</t>
  </si>
  <si>
    <r>
      <t xml:space="preserve">В комплект поставки входит код Информационно-технического сопровождения </t>
    </r>
    <r>
      <rPr>
        <b/>
        <sz val="8"/>
        <color rgb="FF000000"/>
        <rFont val="Segoe UI"/>
        <family val="2"/>
        <charset val="204"/>
      </rPr>
      <t>на 1-й календарный год</t>
    </r>
  </si>
  <si>
    <t xml:space="preserve">Информационно-техническое сопровождение ПО «Газсеть: Экстра» </t>
  </si>
  <si>
    <r>
      <t>1.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 xml:space="preserve">Предоставление методических материалов по настройке и эффективному использованию программных модулей ПО «Газсеть: Экстра». </t>
    </r>
  </si>
  <si>
    <r>
      <t>2.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Рекомендации и помощь по вопросам интеграции с внешними информационными системами и администрированию ПО «Газсеть: Экстра».</t>
    </r>
  </si>
  <si>
    <r>
      <t>3.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 xml:space="preserve">Предоставление индивидуальной линии консультаций по телефону и электронной почте. Оперативная помощь при возникновении нештатных ситуаций в работе ПО «Газсеть: Экстра. </t>
    </r>
  </si>
  <si>
    <r>
      <t>4.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Доступ к обновлениям до мажорных версий ПО «Газсеть: Экстра» и всех программных модулей, входящих в состав программного обеспечения.</t>
    </r>
  </si>
  <si>
    <r>
      <t>5.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Удалённое подключение и техническая поддержка при конфигурировании системы ПО «Газсеть: Экстра», с использованием стандартных программ RDP.</t>
    </r>
  </si>
  <si>
    <r>
      <t>6.</t>
    </r>
    <r>
      <rPr>
        <sz val="7"/>
        <color rgb="FF000000"/>
        <rFont val="Times New Roman"/>
        <family val="1"/>
        <charset val="204"/>
      </rPr>
      <t xml:space="preserve">       </t>
    </r>
    <r>
      <rPr>
        <sz val="8"/>
        <color rgb="FF000000"/>
        <rFont val="Segoe UI"/>
        <family val="2"/>
        <charset val="204"/>
      </rPr>
      <t>Приоритет при формировании списка задач для реализации в следующих версиях ПО «Газсеть: Экстра», в том числе адаптация форм отчетов по требованию Региональной Газовой Компании.</t>
    </r>
  </si>
  <si>
    <r>
      <t>7.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Кабели интерфейса для коммуникационных модулей БПЭК.</t>
    </r>
  </si>
  <si>
    <t xml:space="preserve">Кабель БПЭК-ЕК (5М.) </t>
  </si>
  <si>
    <r>
      <t xml:space="preserve">Для подключения модулей телеметрии БПЭК к электронным корректорам </t>
    </r>
    <r>
      <rPr>
        <b/>
        <sz val="8"/>
        <color rgb="FF000000"/>
        <rFont val="Segoe UI"/>
        <family val="2"/>
        <charset val="204"/>
      </rPr>
      <t xml:space="preserve">ЕК260, ЕК270, ЕК280, ЕК290, счетчикам газа СМТ-КОМПЛЕКС ( до 50м.) </t>
    </r>
  </si>
  <si>
    <t xml:space="preserve">Кабель БПЭК-ЕК (10М.) </t>
  </si>
  <si>
    <t xml:space="preserve">Кабель БПЭК-ЕК (20М.) </t>
  </si>
  <si>
    <t xml:space="preserve">Кабель БПЭК-ЕК (30М.) </t>
  </si>
  <si>
    <t xml:space="preserve">Кабель БПЭК-ЕК (40М.) </t>
  </si>
  <si>
    <t xml:space="preserve">Кабель БПЭК-ЕК (50М.) </t>
  </si>
  <si>
    <t>Кабель БПЭК-ЕК (100М.)</t>
  </si>
  <si>
    <t>Кабель БПЭК-ТС (5 М.)</t>
  </si>
  <si>
    <r>
      <t xml:space="preserve">Для подключения модулей телеметрии БПЭК к электронным корректорам </t>
    </r>
    <r>
      <rPr>
        <b/>
        <sz val="8"/>
        <color rgb="FF000000"/>
        <rFont val="Segoe UI"/>
        <family val="2"/>
        <charset val="204"/>
      </rPr>
      <t>ТС220.</t>
    </r>
  </si>
  <si>
    <t>Кабель БПЭК-ТС (10 М.)</t>
  </si>
  <si>
    <t>Кабель БПЭК-ТС (15 М.)</t>
  </si>
  <si>
    <t>Кабель БПЭК-ТС (20 М.)</t>
  </si>
  <si>
    <t>Кабель БПЭК-ТС (25 М.)</t>
  </si>
  <si>
    <t>Кабель БПЭК-ТС (30 М.)</t>
  </si>
  <si>
    <t>Кабель БПЭК-ТС (35 М.)</t>
  </si>
  <si>
    <t>Кабель БПЭК-ТС (40 М.)</t>
  </si>
  <si>
    <t>Кабель БПЭК-ТС (45 М.)</t>
  </si>
  <si>
    <t>Кабель БПЭК-ТС (50 М.)</t>
  </si>
  <si>
    <t>Кабель БПЭК-Флоугаз (5М.)</t>
  </si>
  <si>
    <r>
      <t xml:space="preserve">Для подключения модулей телеметрии БПЭК к электронным корректорам </t>
    </r>
    <r>
      <rPr>
        <b/>
        <sz val="8"/>
        <color rgb="FF000000"/>
        <rFont val="Segoe UI"/>
        <family val="2"/>
        <charset val="204"/>
      </rPr>
      <t>Флоугаз, Флоугаз-Т, Ultramag.</t>
    </r>
    <r>
      <rPr>
        <sz val="8"/>
        <color rgb="FF000000"/>
        <rFont val="Segoe UI"/>
        <family val="2"/>
        <charset val="204"/>
      </rPr>
      <t xml:space="preserve"> </t>
    </r>
  </si>
  <si>
    <t>Кабель БПЭК- Флоугаз  (10М.)</t>
  </si>
  <si>
    <t>Кабель БПЭК- Флоугаз (20М.)</t>
  </si>
  <si>
    <t>Кабель БПЭК- Флоугаз  (30М.)</t>
  </si>
  <si>
    <t>Кабель БПЭК- Флоугаз  (40М.)</t>
  </si>
  <si>
    <t>Кабель БПЭК- Флоугаз  (50М.)</t>
  </si>
  <si>
    <t>Кабель БПЭК- Флоугаз (100М.)</t>
  </si>
  <si>
    <t>Кабель  БПЭК-ВКГ (5м)</t>
  </si>
  <si>
    <r>
      <t xml:space="preserve">Для подключения модулей телеметрии БПЭК к электронным корректорам </t>
    </r>
    <r>
      <rPr>
        <b/>
        <sz val="8"/>
        <color rgb="FF000000"/>
        <rFont val="Segoe UI"/>
        <family val="2"/>
        <charset val="204"/>
      </rPr>
      <t>ВКГ</t>
    </r>
  </si>
  <si>
    <t>Кабель  БПЭК-ВКГ (10м)</t>
  </si>
  <si>
    <t>Кабель  БПЭК-ВКГ (20м)</t>
  </si>
  <si>
    <t>Кабель  БПЭК-ВКГ (30м)</t>
  </si>
  <si>
    <t>Кабель  БПЭК-ВКГ (40м)</t>
  </si>
  <si>
    <t>Кабель  БПЭК-ВКГ (50м)</t>
  </si>
  <si>
    <t>Кабель  БПЭК-СПГ/Ирвис (5м)</t>
  </si>
  <si>
    <r>
      <t xml:space="preserve">Для подключения модулей телеметрии БПЭК к электронным корректорам </t>
    </r>
    <r>
      <rPr>
        <b/>
        <sz val="8"/>
        <color rgb="FF000000"/>
        <rFont val="Segoe UI"/>
        <family val="2"/>
        <charset val="204"/>
      </rPr>
      <t>СПГ, Ирвис</t>
    </r>
  </si>
  <si>
    <t>Кабель  БПЭК-СПГ/Ирвис (10м)</t>
  </si>
  <si>
    <t>Кабель  БПЭК-СПГ/Ирвис (20м)</t>
  </si>
  <si>
    <t>Кабель  БПЭК-СПГ/Ирвис (30м)</t>
  </si>
  <si>
    <t>Кабель  БПЭК-СПГ/Ирвис (40м)</t>
  </si>
  <si>
    <t>Кабель  БПЭК-СПГ/Ирвис (50м)</t>
  </si>
  <si>
    <r>
      <t>8.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 xml:space="preserve">     Дополнительное оборудование</t>
    </r>
  </si>
  <si>
    <t>Датчик импульсов IN-Z61 0,65м</t>
  </si>
  <si>
    <r>
      <t xml:space="preserve">Предназначен для дистанционной передачи данных о расходе с коммунальных и бытовых счетчиков газа типа </t>
    </r>
    <r>
      <rPr>
        <b/>
        <sz val="8"/>
        <color rgb="FF000000"/>
        <rFont val="Segoe UI"/>
        <family val="2"/>
        <charset val="204"/>
      </rPr>
      <t>ВК.</t>
    </r>
  </si>
  <si>
    <t>Датчик импульсов IN-Z61 2.5м</t>
  </si>
  <si>
    <t>Датчик импульсов IN-S10 0,8м</t>
  </si>
  <si>
    <r>
      <t xml:space="preserve">Предназначен для дистанционной передачи данных о ротационных типа </t>
    </r>
    <r>
      <rPr>
        <b/>
        <sz val="8"/>
        <color rgb="FF000000"/>
        <rFont val="Segoe UI"/>
        <family val="2"/>
        <charset val="204"/>
      </rPr>
      <t>RVG, RABO</t>
    </r>
    <r>
      <rPr>
        <sz val="8"/>
        <color rgb="FF000000"/>
        <rFont val="Segoe UI"/>
        <family val="2"/>
        <charset val="204"/>
      </rPr>
      <t xml:space="preserve"> и турбинных типа </t>
    </r>
    <r>
      <rPr>
        <b/>
        <sz val="8"/>
        <color rgb="FF000000"/>
        <rFont val="Segoe UI"/>
        <family val="2"/>
        <charset val="204"/>
      </rPr>
      <t>TRZ счетчиков газа</t>
    </r>
    <r>
      <rPr>
        <sz val="8"/>
        <color rgb="FF000000"/>
        <rFont val="Segoe UI"/>
        <family val="2"/>
        <charset val="204"/>
      </rPr>
      <t>.</t>
    </r>
  </si>
  <si>
    <t>Датчик импульсов IN-S10 2.5м</t>
  </si>
  <si>
    <t>Кабель для выносного монтажа GSM-антенны 8м</t>
  </si>
  <si>
    <r>
      <t xml:space="preserve">Предназначен для выноса антенны от </t>
    </r>
    <r>
      <rPr>
        <b/>
        <sz val="8"/>
        <color theme="1"/>
        <rFont val="Segoe UI"/>
        <family val="2"/>
        <charset val="204"/>
      </rPr>
      <t>БПЭК</t>
    </r>
    <r>
      <rPr>
        <sz val="8"/>
        <color theme="1"/>
        <rFont val="Segoe UI"/>
        <family val="2"/>
        <charset val="204"/>
      </rPr>
      <t xml:space="preserve"> для улучшения приема сигнала, длина кабеля 8м.</t>
    </r>
  </si>
  <si>
    <t>Антенна выносная GSM 3 м.</t>
  </si>
  <si>
    <r>
      <t xml:space="preserve">Предназначен для выноса антенны от </t>
    </r>
    <r>
      <rPr>
        <b/>
        <sz val="8"/>
        <color theme="1"/>
        <rFont val="Segoe UI"/>
        <family val="2"/>
        <charset val="204"/>
      </rPr>
      <t>СМТ-Смарт, СМТ</t>
    </r>
    <r>
      <rPr>
        <sz val="8"/>
        <color theme="1"/>
        <rFont val="Segoe UI"/>
        <family val="2"/>
        <charset val="204"/>
      </rPr>
      <t xml:space="preserve"> </t>
    </r>
    <r>
      <rPr>
        <b/>
        <sz val="8"/>
        <color theme="1"/>
        <rFont val="Segoe UI"/>
        <family val="2"/>
        <charset val="204"/>
      </rPr>
      <t>Комплекс</t>
    </r>
    <r>
      <rPr>
        <sz val="8"/>
        <color theme="1"/>
        <rFont val="Segoe UI"/>
        <family val="2"/>
        <charset val="204"/>
      </rPr>
      <t xml:space="preserve"> для улучшения приема сигнала, длина кабеля 3м.</t>
    </r>
  </si>
  <si>
    <t xml:space="preserve">Устройство считывающее оптическое КАО-USB </t>
  </si>
  <si>
    <r>
      <t xml:space="preserve">Оптический адаптер для подключения устройств с оптопортом к ПК через USB интерфейс, длина кабеля </t>
    </r>
    <r>
      <rPr>
        <b/>
        <sz val="8"/>
        <color rgb="FF000000"/>
        <rFont val="Segoe UI"/>
        <family val="2"/>
        <charset val="204"/>
      </rPr>
      <t>1,8м.</t>
    </r>
  </si>
  <si>
    <t xml:space="preserve">Кабель БПЭК -USB </t>
  </si>
  <si>
    <r>
      <t xml:space="preserve">Кабель для стационарного подключения БПЭК серии ЦК к ПК через USB интерфейс, длина кабеля </t>
    </r>
    <r>
      <rPr>
        <b/>
        <sz val="8"/>
        <color rgb="FF000000"/>
        <rFont val="Segoe UI"/>
        <family val="2"/>
        <charset val="204"/>
      </rPr>
      <t>1,8м.</t>
    </r>
  </si>
  <si>
    <t>Модуль контроля аккумулятора</t>
  </si>
  <si>
    <r>
      <t xml:space="preserve">Предназначен для контроля встроенного аккумулятора в блоках сери </t>
    </r>
    <r>
      <rPr>
        <b/>
        <sz val="8"/>
        <color theme="1"/>
        <rFont val="Segoe UI"/>
        <family val="2"/>
        <charset val="204"/>
      </rPr>
      <t>БПЭК-02/МТ</t>
    </r>
  </si>
  <si>
    <t>Элементы питания</t>
  </si>
  <si>
    <t xml:space="preserve">ER34615M-PHR3; FANSO; ТМР.563121.001 (СМТ-Смарт, СМТ-Комплекс) </t>
  </si>
  <si>
    <t xml:space="preserve">Элементы питания </t>
  </si>
  <si>
    <t>ER34615M FANSO (БПЭК, БПЭК/ЦК)</t>
  </si>
  <si>
    <r>
      <t>9.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 xml:space="preserve">     Присоединительные приборы для монтажа  </t>
    </r>
  </si>
  <si>
    <t xml:space="preserve">Комплект монтажных частей </t>
  </si>
  <si>
    <t>КМЧ-К-20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</si>
  <si>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</t>
    </r>
    <r>
      <rPr>
        <sz val="8"/>
        <color theme="1"/>
        <rFont val="Segoe UI"/>
        <family val="2"/>
        <charset val="204"/>
      </rPr>
      <t xml:space="preserve"> в штуцерном исполнении к трубопроводу с условным проходом  </t>
    </r>
    <r>
      <rPr>
        <b/>
        <sz val="8"/>
        <color theme="1"/>
        <rFont val="Cambria"/>
        <family val="1"/>
        <charset val="204"/>
      </rPr>
      <t>Ду 20</t>
    </r>
    <r>
      <rPr>
        <sz val="8"/>
        <color theme="1"/>
        <rFont val="Cambria"/>
        <family val="1"/>
        <charset val="204"/>
      </rPr>
      <t>.</t>
    </r>
  </si>
  <si>
    <t>КМЧ-К-25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</si>
  <si>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 и G10</t>
    </r>
    <r>
      <rPr>
        <sz val="8"/>
        <color theme="1"/>
        <rFont val="Segoe UI"/>
        <family val="2"/>
        <charset val="204"/>
      </rPr>
      <t xml:space="preserve"> в штуцерном исполнении к трубопроводу с условным проходом  </t>
    </r>
    <r>
      <rPr>
        <b/>
        <sz val="8"/>
        <color theme="1"/>
        <rFont val="Cambria"/>
        <family val="1"/>
        <charset val="204"/>
      </rPr>
      <t>Ду 25</t>
    </r>
    <r>
      <rPr>
        <sz val="8"/>
        <color theme="1"/>
        <rFont val="Cambria"/>
        <family val="1"/>
        <charset val="204"/>
      </rPr>
      <t>.</t>
    </r>
  </si>
  <si>
    <t>КМЧ-К-32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</si>
  <si>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</t>
    </r>
    <r>
      <rPr>
        <sz val="8"/>
        <color theme="1"/>
        <rFont val="Segoe UI"/>
        <family val="2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G6, G10, G16 и</t>
    </r>
    <r>
      <rPr>
        <b/>
        <sz val="8"/>
        <color theme="1"/>
        <rFont val="Segoe UI"/>
        <family val="2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G25</t>
    </r>
    <r>
      <rPr>
        <sz val="8"/>
        <color theme="1"/>
        <rFont val="Segoe UI"/>
        <family val="2"/>
        <charset val="204"/>
      </rPr>
      <t xml:space="preserve"> в штуцерном исполнении к трубопроводу с условным проходом  </t>
    </r>
    <r>
      <rPr>
        <b/>
        <sz val="8"/>
        <color theme="1"/>
        <rFont val="Cambria"/>
        <family val="1"/>
        <charset val="204"/>
      </rPr>
      <t>Ду 32</t>
    </r>
    <r>
      <rPr>
        <sz val="8"/>
        <color theme="1"/>
        <rFont val="Cambria"/>
        <family val="1"/>
        <charset val="204"/>
      </rPr>
      <t>.</t>
    </r>
  </si>
  <si>
    <t>КМЧ-К-Ф-40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</si>
  <si>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 G10, G16 и G25</t>
    </r>
    <r>
      <rPr>
        <sz val="8"/>
        <color theme="1"/>
        <rFont val="Segoe UI"/>
        <family val="2"/>
        <charset val="204"/>
      </rPr>
      <t xml:space="preserve"> во фланцевом  исполнении к трубопроводу с  условным проходом </t>
    </r>
    <r>
      <rPr>
        <b/>
        <sz val="8"/>
        <color theme="1"/>
        <rFont val="Cambria"/>
        <family val="1"/>
        <charset val="204"/>
      </rPr>
      <t>Ду 40.</t>
    </r>
  </si>
  <si>
    <t>КМЧ-К-Ф-50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</si>
  <si>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 G40</t>
    </r>
    <r>
      <rPr>
        <sz val="8"/>
        <color theme="1"/>
        <rFont val="Segoe UI"/>
        <family val="2"/>
        <charset val="204"/>
      </rPr>
      <t xml:space="preserve"> к трубопроводу с условным проходом </t>
    </r>
    <r>
      <rPr>
        <b/>
        <sz val="8"/>
        <color theme="1"/>
        <rFont val="Cambria"/>
        <family val="1"/>
        <charset val="204"/>
      </rPr>
      <t>Ду 50.</t>
    </r>
  </si>
  <si>
    <t>КМЧ-К-Ф-80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</si>
  <si>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Комплекс G40 исп. 2</t>
    </r>
    <r>
      <rPr>
        <sz val="8"/>
        <color theme="1"/>
        <rFont val="Segoe UI"/>
        <family val="2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 xml:space="preserve">-G65 и G100 </t>
    </r>
    <r>
      <rPr>
        <sz val="8"/>
        <color theme="1"/>
        <rFont val="Segoe UI"/>
        <family val="2"/>
        <charset val="204"/>
      </rPr>
      <t xml:space="preserve">к трубопроводу с условным проходом </t>
    </r>
    <r>
      <rPr>
        <b/>
        <sz val="8"/>
        <color theme="1"/>
        <rFont val="Cambria"/>
        <family val="1"/>
        <charset val="204"/>
      </rPr>
      <t xml:space="preserve">Ду 80. </t>
    </r>
  </si>
  <si>
    <t>КМЧ-С-20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</si>
  <si>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Смарт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 и G10</t>
    </r>
    <r>
      <rPr>
        <sz val="8"/>
        <color theme="1"/>
        <rFont val="Segoe UI"/>
        <family val="2"/>
        <charset val="204"/>
      </rPr>
      <t xml:space="preserve"> в штуцерном исполнении к трубопроводу с условным проходом  </t>
    </r>
    <r>
      <rPr>
        <b/>
        <sz val="8"/>
        <color theme="1"/>
        <rFont val="Cambria"/>
        <family val="1"/>
        <charset val="204"/>
      </rPr>
      <t>Ду 20</t>
    </r>
    <r>
      <rPr>
        <sz val="8"/>
        <color theme="1"/>
        <rFont val="Cambria"/>
        <family val="1"/>
        <charset val="204"/>
      </rPr>
      <t>.</t>
    </r>
  </si>
  <si>
    <t>КМЧ-С-25</t>
  </si>
  <si>
    <r>
      <t xml:space="preserve">Предназначен для присоединения счётчиков газа </t>
    </r>
    <r>
      <rPr>
        <b/>
        <sz val="8"/>
        <color theme="1"/>
        <rFont val="Cambria"/>
        <family val="1"/>
        <charset val="204"/>
      </rPr>
      <t>СМТ Смарт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 и G10</t>
    </r>
    <r>
      <rPr>
        <sz val="8"/>
        <color theme="1"/>
        <rFont val="Segoe UI"/>
        <family val="2"/>
        <charset val="204"/>
      </rPr>
      <t xml:space="preserve"> в штуцерном исполнении к трубопроводу с условным проходом  </t>
    </r>
    <r>
      <rPr>
        <b/>
        <sz val="8"/>
        <color theme="1"/>
        <rFont val="Cambria"/>
        <family val="1"/>
        <charset val="204"/>
      </rPr>
      <t>Ду 25</t>
    </r>
    <r>
      <rPr>
        <sz val="8"/>
        <color theme="1"/>
        <rFont val="Cambria"/>
        <family val="1"/>
        <charset val="204"/>
      </rPr>
      <t>.</t>
    </r>
  </si>
  <si>
    <t>КМЧ-С-110-G4</t>
  </si>
  <si>
    <r>
      <t xml:space="preserve">Предназначен для замены ДИАФРАГМЕННОГО счетчика  газа </t>
    </r>
    <r>
      <rPr>
        <b/>
        <sz val="8"/>
        <color theme="1"/>
        <rFont val="Cambria"/>
        <family val="1"/>
        <charset val="204"/>
      </rPr>
      <t>G 1,6/2.5/4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110 мм</t>
    </r>
    <r>
      <rPr>
        <sz val="8"/>
        <color theme="1"/>
        <rFont val="Cambria"/>
        <family val="1"/>
        <charset val="204"/>
      </rPr>
      <t xml:space="preserve">, </t>
    </r>
    <r>
      <rPr>
        <b/>
        <sz val="8"/>
        <color theme="1"/>
        <rFont val="Cambria"/>
        <family val="1"/>
        <charset val="204"/>
      </rPr>
      <t>ду 20 мм.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1 ¼’’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СМТ-Смарт G4.</t>
    </r>
  </si>
  <si>
    <t>КМЧ-С-200-G6</t>
  </si>
  <si>
    <r>
      <t xml:space="preserve">Предназначен для замены ДИАФРАГМЕННОГО счетчика газа </t>
    </r>
    <r>
      <rPr>
        <b/>
        <sz val="8"/>
        <color theme="1"/>
        <rFont val="Cambria"/>
        <family val="1"/>
        <charset val="204"/>
      </rPr>
      <t>G 6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 xml:space="preserve">200 мм, </t>
    </r>
    <r>
      <rPr>
        <sz val="8"/>
        <color theme="1"/>
        <rFont val="Segoe UI"/>
        <family val="2"/>
        <charset val="204"/>
      </rPr>
      <t xml:space="preserve">и присоединительной резьбой </t>
    </r>
    <r>
      <rPr>
        <b/>
        <sz val="8"/>
        <color theme="1"/>
        <rFont val="Cambria"/>
        <family val="1"/>
        <charset val="204"/>
      </rPr>
      <t>G 1 ¼’’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СМТ-Смарт G6.</t>
    </r>
  </si>
  <si>
    <t>КМЧ-С-250-G6</t>
  </si>
  <si>
    <r>
      <t xml:space="preserve">Предназначен для замены ДИАФРАГМЕННОГО счетчика газа </t>
    </r>
    <r>
      <rPr>
        <b/>
        <sz val="8"/>
        <color theme="1"/>
        <rFont val="Cambria"/>
        <family val="1"/>
        <charset val="204"/>
      </rPr>
      <t>G 6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с межосевым расстоянием </t>
    </r>
    <r>
      <rPr>
        <b/>
        <sz val="8"/>
        <color theme="1"/>
        <rFont val="Cambria"/>
        <family val="1"/>
        <charset val="204"/>
      </rPr>
      <t>250 мм,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1 ¼’’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СМТ- Смарт G6.</t>
    </r>
  </si>
  <si>
    <r>
      <t>КМЧ-СК-110-G</t>
    </r>
    <r>
      <rPr>
        <b/>
        <sz val="8"/>
        <color theme="1"/>
        <rFont val="Segoe UI"/>
        <family val="2"/>
        <charset val="204"/>
      </rPr>
      <t>¾</t>
    </r>
  </si>
  <si>
    <r>
      <t xml:space="preserve">предназначен для замены диафрагменных счетчиков газа (Gallus и др.) с межосевым расстоянием 110 мм и присоединительной резьбой </t>
    </r>
    <r>
      <rPr>
        <b/>
        <sz val="8"/>
        <color theme="1"/>
        <rFont val="Segoe UI"/>
        <family val="2"/>
        <charset val="204"/>
      </rPr>
      <t>¾</t>
    </r>
    <r>
      <rPr>
        <sz val="8"/>
        <color theme="1"/>
        <rFont val="Segoe UI"/>
        <family val="2"/>
        <charset val="204"/>
      </rPr>
      <t xml:space="preserve">ʺ на счетчик газа </t>
    </r>
    <r>
      <rPr>
        <b/>
        <sz val="8"/>
        <color theme="1"/>
        <rFont val="Segoe UI"/>
        <family val="2"/>
        <charset val="204"/>
      </rPr>
      <t>СМТ-Смарт-К G4, G6, G10.</t>
    </r>
  </si>
  <si>
    <t>Комплект монтажных частей</t>
  </si>
  <si>
    <t>КМЧ-СК-110-G4</t>
  </si>
  <si>
    <r>
      <t>предназначен для замены диафрагменных счетчиков газа (ВК, Gallus и др.) с межосевым расстоянием 110 мм и присоединительной резьбой 1</t>
    </r>
    <r>
      <rPr>
        <b/>
        <sz val="8"/>
        <color theme="1"/>
        <rFont val="Segoe UI"/>
        <family val="2"/>
        <charset val="204"/>
      </rPr>
      <t>¼</t>
    </r>
    <r>
      <rPr>
        <sz val="8"/>
        <color theme="1"/>
        <rFont val="Segoe UI"/>
        <family val="2"/>
        <charset val="204"/>
      </rPr>
      <t xml:space="preserve">ʺ на счетчик газа </t>
    </r>
    <r>
      <rPr>
        <b/>
        <sz val="8"/>
        <color theme="1"/>
        <rFont val="Segoe UI"/>
        <family val="2"/>
        <charset val="204"/>
      </rPr>
      <t>СМТ-Смарт-К G4, G6, G10</t>
    </r>
    <r>
      <rPr>
        <sz val="8"/>
        <color theme="1"/>
        <rFont val="Segoe UI"/>
        <family val="2"/>
        <charset val="204"/>
      </rPr>
      <t xml:space="preserve">. </t>
    </r>
  </si>
  <si>
    <t xml:space="preserve">КМЧ-СК-200-G6 </t>
  </si>
  <si>
    <r>
      <t>предназначен для замены диафрагменных счетчиков газа (ВК и др.) с межосевым расстоянием 200 мм и присоединительной резьбой 1</t>
    </r>
    <r>
      <rPr>
        <b/>
        <sz val="8"/>
        <color theme="1"/>
        <rFont val="Segoe UI"/>
        <family val="2"/>
        <charset val="204"/>
      </rPr>
      <t>¼</t>
    </r>
    <r>
      <rPr>
        <sz val="8"/>
        <color theme="1"/>
        <rFont val="Segoe UI"/>
        <family val="2"/>
        <charset val="204"/>
      </rPr>
      <t xml:space="preserve">ʺ на счетчик газа </t>
    </r>
    <r>
      <rPr>
        <b/>
        <sz val="8"/>
        <color theme="1"/>
        <rFont val="Segoe UI"/>
        <family val="2"/>
        <charset val="204"/>
      </rPr>
      <t>СМТ-Смарт-К G4, G6, G10</t>
    </r>
  </si>
  <si>
    <t>КМЧ-СК-250-G1¾</t>
  </si>
  <si>
    <r>
      <t>предназначен для замены диафрагменных счетчиков газа (ВК, Gallus и др.) с межосевым расстоянием 250 мм и присоединительной резьбой 1</t>
    </r>
    <r>
      <rPr>
        <b/>
        <sz val="8"/>
        <color theme="1"/>
        <rFont val="Segoe UI"/>
        <family val="2"/>
        <charset val="204"/>
      </rPr>
      <t>¾</t>
    </r>
    <r>
      <rPr>
        <sz val="8"/>
        <color theme="1"/>
        <rFont val="Segoe UI"/>
        <family val="2"/>
        <charset val="204"/>
      </rPr>
      <t xml:space="preserve">ʺ на счетчик газа </t>
    </r>
    <r>
      <rPr>
        <b/>
        <sz val="8"/>
        <color theme="1"/>
        <rFont val="Segoe UI"/>
        <family val="2"/>
        <charset val="204"/>
      </rPr>
      <t>СМТ-Смарт-К G4, G6, G10</t>
    </r>
    <r>
      <rPr>
        <sz val="8"/>
        <color theme="1"/>
        <rFont val="Segoe UI"/>
        <family val="2"/>
        <charset val="204"/>
      </rPr>
      <t>.</t>
    </r>
  </si>
  <si>
    <t>КМЧ-СК-250-G6</t>
  </si>
  <si>
    <r>
      <t>предназначен для замены диафрагменных счетчиков газа (ВК, Gallus и др.) с межосевым расстоянием 250 мм и присоединительной резьбой 1</t>
    </r>
    <r>
      <rPr>
        <b/>
        <sz val="8"/>
        <color theme="1"/>
        <rFont val="Segoe UI"/>
        <family val="2"/>
        <charset val="204"/>
      </rPr>
      <t>¼ʺ</t>
    </r>
    <r>
      <rPr>
        <sz val="8"/>
        <color theme="1"/>
        <rFont val="Segoe UI"/>
        <family val="2"/>
        <charset val="204"/>
      </rPr>
      <t xml:space="preserve"> на счетчик газа </t>
    </r>
    <r>
      <rPr>
        <b/>
        <sz val="8"/>
        <color theme="1"/>
        <rFont val="Segoe UI"/>
        <family val="2"/>
        <charset val="204"/>
      </rPr>
      <t>СМТ-Смарт-К G4, G6, G10</t>
    </r>
    <r>
      <rPr>
        <sz val="8"/>
        <color theme="1"/>
        <rFont val="Segoe UI"/>
        <family val="2"/>
        <charset val="204"/>
      </rPr>
      <t>.</t>
    </r>
  </si>
  <si>
    <t>КМЧ-С-238-G3/4</t>
  </si>
  <si>
    <r>
      <t>Предназначен для замены счетчиков газа с линейным размером 238мм и присоединительной резьбой G3/4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’ на счётчик газа </t>
    </r>
    <r>
      <rPr>
        <b/>
        <sz val="8"/>
        <color theme="1"/>
        <rFont val="Segoe UI"/>
        <family val="2"/>
        <charset val="204"/>
      </rPr>
      <t>СМТ-Смарт G4/6.</t>
    </r>
  </si>
  <si>
    <t>КМЧ-С-255-G1</t>
  </si>
  <si>
    <r>
      <t xml:space="preserve">Предназначен для замены счетчиков газа с линейным размером 255мм и присоединительной резьбой G1’ на счётчик газа </t>
    </r>
    <r>
      <rPr>
        <b/>
        <sz val="8"/>
        <color theme="1"/>
        <rFont val="Segoe UI"/>
        <family val="2"/>
        <charset val="204"/>
      </rPr>
      <t>СМТ-Смарт G4/6.</t>
    </r>
  </si>
  <si>
    <t>КМЧ-С-255-G1 1/4</t>
  </si>
  <si>
    <r>
      <t>Предназначен для замены счетчиков газа с линейным размером 255мм и присоединительной резьбой G1 3/4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’ на счётчик газа </t>
    </r>
    <r>
      <rPr>
        <b/>
        <sz val="8"/>
        <color theme="1"/>
        <rFont val="Segoe UI"/>
        <family val="2"/>
        <charset val="204"/>
      </rPr>
      <t>СМТ-Смарт G4/6.</t>
    </r>
  </si>
  <si>
    <t>КМЧ-К-250-G10</t>
  </si>
  <si>
    <r>
      <t xml:space="preserve">Предназначен для замены ДИАФРАГМЕННОГО счётчика </t>
    </r>
    <r>
      <rPr>
        <b/>
        <sz val="8"/>
        <color theme="1"/>
        <rFont val="Cambria"/>
        <family val="1"/>
        <charset val="204"/>
      </rPr>
      <t>G10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250 мм</t>
    </r>
    <r>
      <rPr>
        <sz val="8"/>
        <color theme="1"/>
        <rFont val="Cambria"/>
        <family val="1"/>
        <charset val="204"/>
      </rPr>
      <t>,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1 1/3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 xml:space="preserve">СМТ Комплекс G10               </t>
    </r>
    <r>
      <rPr>
        <i/>
        <sz val="8"/>
        <color rgb="FF555555"/>
        <rFont val="Arial"/>
        <family val="2"/>
        <charset val="204"/>
      </rPr>
      <t>G 1¾,!!! </t>
    </r>
  </si>
  <si>
    <t>КМЧ-К-280-G10/16</t>
  </si>
  <si>
    <r>
      <t xml:space="preserve">Предназначен для замены ДИАФРАГМЕННОГО счётчика </t>
    </r>
    <r>
      <rPr>
        <b/>
        <sz val="8"/>
        <color theme="1"/>
        <rFont val="Cambria"/>
        <family val="1"/>
        <charset val="204"/>
      </rPr>
      <t>G16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280 мм</t>
    </r>
    <r>
      <rPr>
        <sz val="8"/>
        <color theme="1"/>
        <rFont val="Cambria"/>
        <family val="1"/>
        <charset val="204"/>
      </rPr>
      <t>,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2''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 Комплекс G10/16.</t>
    </r>
  </si>
  <si>
    <t>КМЧ-К-335-G25</t>
  </si>
  <si>
    <r>
      <t xml:space="preserve">Предназначен для замены ДИАФРАГМЕННОГО счетчика счётчика </t>
    </r>
    <r>
      <rPr>
        <b/>
        <sz val="8"/>
        <color theme="1"/>
        <rFont val="Cambria"/>
        <family val="1"/>
        <charset val="204"/>
      </rPr>
      <t>G 25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335 мм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2 ½'’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 Комплекс G25.</t>
    </r>
  </si>
  <si>
    <r>
      <t>10.</t>
    </r>
    <r>
      <rPr>
        <b/>
        <sz val="7"/>
        <color theme="1"/>
        <rFont val="Times New Roman"/>
        <family val="1"/>
        <charset val="204"/>
      </rPr>
      <t xml:space="preserve">  </t>
    </r>
    <r>
      <rPr>
        <b/>
        <sz val="12"/>
        <color rgb="FF000000"/>
        <rFont val="Times New Roman"/>
        <family val="1"/>
        <charset val="204"/>
      </rPr>
      <t xml:space="preserve"> Шкафы защитные для приборов учета газа</t>
    </r>
  </si>
  <si>
    <t>Шкаф защитный ШГ-1</t>
  </si>
  <si>
    <r>
      <t xml:space="preserve">Предназначен для защиты счётчиков газа </t>
    </r>
    <r>
      <rPr>
        <b/>
        <sz val="8"/>
        <color theme="1"/>
        <rFont val="Cambria"/>
        <family val="1"/>
        <charset val="204"/>
      </rPr>
      <t>СМТ Комплекс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 4, G6, G10, G16 и G25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от атмосферных осадков, прямых солнечных лучей и механических повреждений. Конструкция шкафа имеет антивандальное исполнение, возможность пломбировки и механический замок. </t>
    </r>
    <r>
      <rPr>
        <b/>
        <sz val="8"/>
        <color theme="1"/>
        <rFont val="Segoe UI"/>
        <family val="2"/>
        <charset val="204"/>
      </rPr>
      <t xml:space="preserve"> </t>
    </r>
  </si>
  <si>
    <t>Шкаф защитный ШГ-2</t>
  </si>
  <si>
    <r>
      <t xml:space="preserve">Предназначен для защиты счётчиков газа </t>
    </r>
    <r>
      <rPr>
        <b/>
        <sz val="8"/>
        <color theme="1"/>
        <rFont val="Cambria"/>
        <family val="1"/>
        <charset val="204"/>
      </rPr>
      <t>СМТ Смарт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>G4, G6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от атмосферных осадков, прямых солнечных лучей и механических повреждений. Конструкция шкафа имеет антивандальное исполнение, возможность пломбировки и механический замок. </t>
    </r>
    <r>
      <rPr>
        <b/>
        <sz val="8"/>
        <color theme="1"/>
        <rFont val="Segoe UI"/>
        <family val="2"/>
        <charset val="204"/>
      </rPr>
      <t xml:space="preserve"> </t>
    </r>
  </si>
  <si>
    <t>Шкаф защитный ШГ-3</t>
  </si>
  <si>
    <r>
      <t xml:space="preserve">Предназначен для защиты счётчиков газа </t>
    </r>
    <r>
      <rPr>
        <b/>
        <sz val="8"/>
        <color theme="1"/>
        <rFont val="Cambria"/>
        <family val="1"/>
        <charset val="204"/>
      </rPr>
      <t>СМТ Комплекс</t>
    </r>
    <r>
      <rPr>
        <sz val="8"/>
        <color theme="1"/>
        <rFont val="Cambria"/>
        <family val="1"/>
        <charset val="204"/>
      </rPr>
      <t xml:space="preserve"> </t>
    </r>
    <r>
      <rPr>
        <b/>
        <sz val="8"/>
        <color theme="1"/>
        <rFont val="Cambria"/>
        <family val="1"/>
        <charset val="204"/>
      </rPr>
      <t xml:space="preserve">G 40 и G40-2, G65 и G100 </t>
    </r>
    <r>
      <rPr>
        <sz val="8"/>
        <color theme="1"/>
        <rFont val="Segoe UI"/>
        <family val="2"/>
        <charset val="204"/>
      </rPr>
      <t xml:space="preserve">от атмосферных осадков, прямых солнечных лучей и механических повреждений. Конструкция шкафа имеет антивандальное исполнение, возможность пломбировки и механический замок. </t>
    </r>
    <r>
      <rPr>
        <b/>
        <sz val="8"/>
        <color theme="1"/>
        <rFont val="Segoe UI"/>
        <family val="2"/>
        <charset val="204"/>
      </rPr>
      <t xml:space="preserve"> </t>
    </r>
  </si>
  <si>
    <t xml:space="preserve">Шкаф защитный ШЗГ-СМТ-Комплекс </t>
  </si>
  <si>
    <r>
      <t xml:space="preserve">Защитный кожух, предназначен для защиты от механических повреждений счётчиков газа </t>
    </r>
    <r>
      <rPr>
        <b/>
        <sz val="8"/>
        <color theme="1"/>
        <rFont val="Cambria"/>
        <family val="1"/>
        <charset val="204"/>
      </rPr>
      <t>СМТ Комплекс G4, G6, G10, G16 и G25</t>
    </r>
    <r>
      <rPr>
        <sz val="8"/>
        <color theme="1"/>
        <rFont val="Segoe UI"/>
        <family val="2"/>
        <charset val="204"/>
      </rPr>
      <t xml:space="preserve"> установленных под навесом или в помещении. Конструкция шкафа имеет механический замок. </t>
    </r>
    <r>
      <rPr>
        <b/>
        <sz val="8"/>
        <color theme="1"/>
        <rFont val="Segoe UI"/>
        <family val="2"/>
        <charset val="204"/>
      </rPr>
      <t xml:space="preserve"> </t>
    </r>
  </si>
  <si>
    <t xml:space="preserve">Шкаф защитный ШЗГ-СМТ-Смарт </t>
  </si>
  <si>
    <r>
      <t xml:space="preserve">Защитный кожух, предназначен для защиты от механических повреждений счётчиков газа </t>
    </r>
    <r>
      <rPr>
        <b/>
        <sz val="8"/>
        <color theme="1"/>
        <rFont val="Cambria"/>
        <family val="1"/>
        <charset val="204"/>
      </rPr>
      <t>СМТ Смарт G4, G6</t>
    </r>
    <r>
      <rPr>
        <sz val="8"/>
        <color theme="1"/>
        <rFont val="Segoe UI"/>
        <family val="2"/>
        <charset val="204"/>
      </rPr>
      <t xml:space="preserve"> установленных под навесом или в помещении. Конструкция шкафа без механического замка. </t>
    </r>
    <r>
      <rPr>
        <b/>
        <sz val="8"/>
        <color theme="1"/>
        <rFont val="Segoe UI"/>
        <family val="2"/>
        <charset val="204"/>
      </rPr>
      <t xml:space="preserve"> </t>
    </r>
  </si>
  <si>
    <t>НАША цена с НДС</t>
  </si>
  <si>
    <t>Договорная</t>
  </si>
  <si>
    <t>Цена Техномера без НДС</t>
  </si>
  <si>
    <t xml:space="preserve">                                ПРАЙС-ЛИСТ</t>
  </si>
  <si>
    <t>снят с производства</t>
  </si>
  <si>
    <t>ООО "УК ОРИОН"</t>
  </si>
  <si>
    <t>УТВЕРЖДАЮ: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</si>
  <si>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sz val="8"/>
        <color theme="1"/>
        <rFont val="Segoe UI"/>
        <family val="2"/>
        <charset val="204"/>
      </rPr>
      <t>Методическая коррекция по t=20</t>
    </r>
    <r>
      <rPr>
        <sz val="8"/>
        <color theme="1"/>
        <rFont val="Calibri"/>
        <family val="2"/>
        <charset val="204"/>
      </rPr>
      <t>˚</t>
    </r>
    <r>
      <rPr>
        <sz val="8"/>
        <color theme="1"/>
        <rFont val="Segoe UI"/>
        <family val="2"/>
        <charset val="204"/>
      </rPr>
      <t>С</t>
    </r>
  </si>
  <si>
    <t>__________В.С. Сидельникова</t>
  </si>
  <si>
    <t>Генеральный директор ООО "Орион Газснаб"</t>
  </si>
  <si>
    <t>г Ростов-на-Дону, ул 14-я линия, д. 30/48, литер Е, офис 9</t>
  </si>
  <si>
    <t xml:space="preserve"> ИНН/КПП 6167203506/616701001 Р/с 40702810852090038751 в ЮГО-ЗАПАДНОМ БАНКЕ</t>
  </si>
  <si>
    <t xml:space="preserve"> ПАО СБЕРБАНК г. Ростов-на-Дону, К/с 30101810600000000602, БИК 046015602</t>
  </si>
  <si>
    <t>"___"июля 2024г.</t>
  </si>
  <si>
    <r>
      <t xml:space="preserve">предназначен для замены диафрагменных счетчиков газа (ВК, Gallus и др.) с межосевым расстоянием 110 мм и присоединительной резьбой 2ʺ на счетчик газа </t>
    </r>
    <r>
      <rPr>
        <b/>
        <sz val="8"/>
        <color theme="1"/>
        <rFont val="Segoe UI"/>
        <family val="2"/>
        <charset val="204"/>
      </rPr>
      <t xml:space="preserve">СМТ-Смарт-К G4, G6, G10 и  СМТ-Смарт-К G4, G6, G10. </t>
    </r>
  </si>
  <si>
    <r>
      <t>1.3.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>Счетчики газа микротермальный СМТ-Смарт-ДКЗ</t>
    </r>
  </si>
  <si>
    <t>Счетчики газа микротермальный СМТ-Смарт-ДКЗ G4</t>
  </si>
  <si>
    <t>Счетчики газа микротермальный  СМТ-Смарт-ДКЗ G6</t>
  </si>
  <si>
    <t>Счетчики газа микротермальный  СМТ-Смарт-ДКЗ G10</t>
  </si>
  <si>
    <t>СБИГ</t>
  </si>
  <si>
    <t>система безопасого использования гааза</t>
  </si>
  <si>
    <r>
      <t>·</t>
    </r>
    <r>
      <rPr>
        <sz val="7"/>
        <color theme="1"/>
        <rFont val="Times New Roman"/>
        <family val="1"/>
        <charset val="204"/>
      </rPr>
      <t xml:space="preserve">        </t>
    </r>
    <r>
      <rPr>
        <b/>
        <sz val="8"/>
        <color theme="1"/>
        <rFont val="Segoe UI"/>
        <family val="2"/>
        <charset val="204"/>
      </rPr>
      <t>Возможность подключения датчиков контроля загазованности для организации системы СБИГ</t>
    </r>
  </si>
  <si>
    <r>
      <t>·</t>
    </r>
    <r>
      <rPr>
        <sz val="7"/>
        <color theme="1"/>
        <rFont val="Times New Roman"/>
        <family val="1"/>
        <charset val="204"/>
      </rPr>
      <t>        Система безопасного использования газа СБИГ - специальный комплекс аппаратных и програмных средств, предназначенных для учета природного газа, контроля, оповещения и предотвращения</t>
    </r>
  </si>
  <si>
    <r>
      <t>·</t>
    </r>
    <r>
      <rPr>
        <sz val="7"/>
        <color theme="1"/>
        <rFont val="Times New Roman"/>
        <family val="1"/>
        <charset val="204"/>
      </rPr>
      <t>        аварийных ситуаций при превышении предельно допустимой концентрации взрывоопасных и токсичных газов (метана, СН4 и угарного газа СО) в помещении Состав системы :  счетчик газа Смарт-ДКЗ</t>
    </r>
  </si>
  <si>
    <r>
      <t>·</t>
    </r>
    <r>
      <rPr>
        <sz val="7"/>
        <color theme="1"/>
        <rFont val="Times New Roman"/>
        <family val="1"/>
        <charset val="204"/>
      </rPr>
      <t>        РПУ (Распределительное проводное устройство). Кабель подключения счетчика к РПУ, датчики контроля загазованности СО и СН4</t>
    </r>
  </si>
  <si>
    <t>КМЧ-С-110-G3/4</t>
  </si>
  <si>
    <r>
      <t xml:space="preserve">Предназначен для замены ДИАФРАГМЕННОГО счетчика  газа </t>
    </r>
    <r>
      <rPr>
        <b/>
        <sz val="8"/>
        <color theme="1"/>
        <rFont val="Cambria"/>
        <family val="1"/>
        <charset val="204"/>
      </rPr>
      <t>G 1,6/2.5/4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110 мм</t>
    </r>
    <r>
      <rPr>
        <sz val="8"/>
        <color theme="1"/>
        <rFont val="Cambria"/>
        <family val="1"/>
        <charset val="204"/>
      </rPr>
      <t xml:space="preserve">, </t>
    </r>
    <r>
      <rPr>
        <b/>
        <sz val="8"/>
        <color theme="1"/>
        <rFont val="Cambria"/>
        <family val="1"/>
        <charset val="204"/>
      </rPr>
      <t>ду 20 мм.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3/4’’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СМТ-Смарт G4.</t>
    </r>
  </si>
  <si>
    <r>
      <t xml:space="preserve">предназначен для замены диафрагменных счетчиков с межосевым расстоянием 280 мм и присоединительной резьбой 2 на счетчик газа </t>
    </r>
    <r>
      <rPr>
        <b/>
        <sz val="8"/>
        <color theme="1"/>
        <rFont val="Segoe UI"/>
        <family val="2"/>
        <charset val="204"/>
      </rPr>
      <t>СМТ-Смарт-К G4, G6, G10 и СМТ-Смарт G10.</t>
    </r>
  </si>
  <si>
    <t>КМЧ-СК-280-G2</t>
  </si>
  <si>
    <t>КМЧ-С-110-М30х2</t>
  </si>
  <si>
    <r>
      <t xml:space="preserve">Предназначен для замены ДИАФРАГМЕННОГО счетчика  газа СГК и др  с межосевым расстоянием </t>
    </r>
    <r>
      <rPr>
        <b/>
        <sz val="8"/>
        <color theme="1"/>
        <rFont val="Cambria"/>
        <family val="1"/>
        <charset val="204"/>
      </rPr>
      <t>110 мм</t>
    </r>
    <r>
      <rPr>
        <sz val="8"/>
        <color theme="1"/>
        <rFont val="Cambria"/>
        <family val="1"/>
        <charset val="204"/>
      </rPr>
      <t xml:space="preserve">, </t>
    </r>
    <r>
      <rPr>
        <b/>
        <sz val="8"/>
        <color theme="1"/>
        <rFont val="Cambria"/>
        <family val="1"/>
        <charset val="204"/>
      </rPr>
      <t>ду 20 мм.</t>
    </r>
    <r>
      <rPr>
        <sz val="8"/>
        <color theme="1"/>
        <rFont val="Segoe UI"/>
        <family val="2"/>
        <charset val="204"/>
      </rPr>
      <t xml:space="preserve"> и присоединительной резьбой М 30х2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>СМТ-Смарт G4, G6.</t>
    </r>
  </si>
  <si>
    <t>КМЧ-К-110-G1 1/4</t>
  </si>
  <si>
    <r>
      <t>Предназначен для замены ДИАФРАГМЕННОГО счётчика  с межосевым расстоянием 11</t>
    </r>
    <r>
      <rPr>
        <b/>
        <sz val="8"/>
        <color theme="1"/>
        <rFont val="Cambria"/>
        <family val="1"/>
        <charset val="204"/>
      </rPr>
      <t>0 мм</t>
    </r>
    <r>
      <rPr>
        <sz val="8"/>
        <color theme="1"/>
        <rFont val="Cambria"/>
        <family val="1"/>
        <charset val="204"/>
      </rPr>
      <t>,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1 1/4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 xml:space="preserve">СМТ Комплекс G4, G4,                 </t>
    </r>
    <r>
      <rPr>
        <i/>
        <sz val="8"/>
        <color rgb="FF555555"/>
        <rFont val="Arial"/>
        <family val="2"/>
        <charset val="204"/>
      </rPr>
      <t>G 1¾,!!! </t>
    </r>
  </si>
  <si>
    <r>
      <t xml:space="preserve">Предназначен для замены ДИАФРАГМЕННОГО счётчика </t>
    </r>
    <r>
      <rPr>
        <b/>
        <sz val="8"/>
        <color theme="1"/>
        <rFont val="Cambria"/>
        <family val="1"/>
        <charset val="204"/>
      </rPr>
      <t>G10</t>
    </r>
    <r>
      <rPr>
        <sz val="8"/>
        <color theme="1"/>
        <rFont val="Segoe UI"/>
        <family val="2"/>
        <charset val="204"/>
      </rPr>
      <t xml:space="preserve"> с межосевым расстоянием </t>
    </r>
    <r>
      <rPr>
        <b/>
        <sz val="8"/>
        <color theme="1"/>
        <rFont val="Cambria"/>
        <family val="1"/>
        <charset val="204"/>
      </rPr>
      <t>250 мм</t>
    </r>
    <r>
      <rPr>
        <sz val="8"/>
        <color theme="1"/>
        <rFont val="Cambria"/>
        <family val="1"/>
        <charset val="204"/>
      </rPr>
      <t>,</t>
    </r>
    <r>
      <rPr>
        <sz val="8"/>
        <color theme="1"/>
        <rFont val="Segoe UI"/>
        <family val="2"/>
        <charset val="204"/>
      </rPr>
      <t xml:space="preserve"> и присоединительной резьбой </t>
    </r>
    <r>
      <rPr>
        <b/>
        <sz val="8"/>
        <color theme="1"/>
        <rFont val="Cambria"/>
        <family val="1"/>
        <charset val="204"/>
      </rPr>
      <t>G 1 1/3</t>
    </r>
    <r>
      <rPr>
        <b/>
        <sz val="8"/>
        <color theme="1"/>
        <rFont val="Segoe UI"/>
        <family val="2"/>
        <charset val="204"/>
      </rPr>
      <t xml:space="preserve"> </t>
    </r>
    <r>
      <rPr>
        <sz val="8"/>
        <color theme="1"/>
        <rFont val="Segoe UI"/>
        <family val="2"/>
        <charset val="204"/>
      </rPr>
      <t xml:space="preserve">на счётчик газа </t>
    </r>
    <r>
      <rPr>
        <b/>
        <sz val="8"/>
        <color theme="1"/>
        <rFont val="Segoe UI"/>
        <family val="2"/>
        <charset val="204"/>
      </rPr>
      <t xml:space="preserve">СМТ Комплекс G10               </t>
    </r>
  </si>
  <si>
    <t>Модификация СМТ Смарт-У</t>
  </si>
  <si>
    <t xml:space="preserve">(стоимость специсполнени необходимо прибавить </t>
  </si>
  <si>
    <t>к стоимости стандартного счетчика)</t>
  </si>
  <si>
    <r>
      <t>·</t>
    </r>
    <r>
      <rPr>
        <sz val="7"/>
        <color theme="1"/>
        <rFont val="Times New Roman"/>
        <family val="1"/>
        <charset val="204"/>
      </rPr>
      <t>        Основная отностительная погрешность измерений +-1,5% от Qmin до  Qmax</t>
    </r>
  </si>
  <si>
    <t>Модификация СМТ Смарт-B</t>
  </si>
  <si>
    <r>
      <t>·</t>
    </r>
    <r>
      <rPr>
        <sz val="7"/>
        <color theme="1"/>
        <rFont val="Times New Roman"/>
        <family val="1"/>
        <charset val="204"/>
      </rPr>
      <t>        Счетчик газа с внешней антенной</t>
    </r>
  </si>
  <si>
    <t>Модификация СМТ Смарт-У-В</t>
  </si>
  <si>
    <r>
      <t>1.5.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>Комплексы учета газа СМТ-Комплекс</t>
    </r>
  </si>
  <si>
    <r>
      <t>1.6.</t>
    </r>
    <r>
      <rPr>
        <b/>
        <sz val="7"/>
        <color rgb="FF000000"/>
        <rFont val="Times New Roman"/>
        <family val="1"/>
        <charset val="204"/>
      </rPr>
      <t xml:space="preserve">  </t>
    </r>
    <r>
      <rPr>
        <b/>
        <sz val="10"/>
        <color rgb="FF000000"/>
        <rFont val="Times New Roman"/>
        <family val="1"/>
        <charset val="204"/>
      </rPr>
      <t xml:space="preserve">Счетчики газа микротермальный СМТ-Комплекс-К </t>
    </r>
  </si>
  <si>
    <t>Модификация СМТ Комплекс-У</t>
  </si>
  <si>
    <t>1.7.  Модификации и специальные исполнения для счетчиков газа для СМТ Комплекс и СМТ Комплекс К</t>
  </si>
  <si>
    <t>1.8.  Цифровые коммуникационные блоки БПЭК</t>
  </si>
  <si>
    <t xml:space="preserve">1.4.  Модификации для счетчиков газа СМТ-Смарт, СМТ-СмартК, СМТ-Смарт ДКЗ </t>
  </si>
  <si>
    <r>
      <t>2.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Программное обеспечение</t>
    </r>
  </si>
  <si>
    <t>2.1. Программное обеспечение для интерактивного сбора данных</t>
  </si>
  <si>
    <r>
      <t>3.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>Кабели интерфейса для коммуникационных модулей БПЭК.</t>
    </r>
  </si>
  <si>
    <r>
      <t>4.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 xml:space="preserve">     Дополнительное оборудование</t>
    </r>
  </si>
  <si>
    <r>
      <t>5.</t>
    </r>
    <r>
      <rPr>
        <b/>
        <sz val="7"/>
        <color theme="1"/>
        <rFont val="Times New Roman"/>
        <family val="1"/>
        <charset val="204"/>
      </rPr>
      <t xml:space="preserve">     </t>
    </r>
    <r>
      <rPr>
        <b/>
        <sz val="12"/>
        <color rgb="FF000000"/>
        <rFont val="Times New Roman"/>
        <family val="1"/>
        <charset val="204"/>
      </rPr>
      <t xml:space="preserve">     Присоединительные приборы для монтажа  </t>
    </r>
  </si>
  <si>
    <r>
      <t>6.</t>
    </r>
    <r>
      <rPr>
        <b/>
        <sz val="7"/>
        <color theme="1"/>
        <rFont val="Times New Roman"/>
        <family val="1"/>
        <charset val="204"/>
      </rPr>
      <t xml:space="preserve">  </t>
    </r>
    <r>
      <rPr>
        <b/>
        <sz val="12"/>
        <color rgb="FF000000"/>
        <rFont val="Times New Roman"/>
        <family val="1"/>
        <charset val="204"/>
      </rPr>
      <t xml:space="preserve"> Шкафы защитные для приборов учета газа</t>
    </r>
  </si>
  <si>
    <t xml:space="preserve">Кабель БПЭК-СМТ/ТМ-07 (5М.) </t>
  </si>
  <si>
    <t xml:space="preserve">Кабель БПЭК-СМТ/ТМ-07 (10М.) </t>
  </si>
  <si>
    <t xml:space="preserve">Кабель БПЭК-СМТ/ТМ-07 (20М.) </t>
  </si>
  <si>
    <t xml:space="preserve">Кабель БПЭК-СМТ/ТМ-07 (30М.) </t>
  </si>
  <si>
    <t xml:space="preserve">Кабель БПЭК-СМТ/ТМ-07 (40М.) </t>
  </si>
  <si>
    <t xml:space="preserve">Кабель БПЭК-СМТ/ТМ-07 (50М.) </t>
  </si>
  <si>
    <t>Для подкоючения цифровых коммуникационных блоков БПЭК ЦК к корректору  ТМ -07,</t>
  </si>
  <si>
    <t>а так же для подключения БПЭК 03 ЦК к счетчикам газа СМТ Комплекс</t>
  </si>
  <si>
    <t>Счетчик газа СМТ- А Смарт G4</t>
  </si>
  <si>
    <t>фильтр 40</t>
  </si>
  <si>
    <t>Цена продажи руб. с НДС без настройки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</si>
</sst>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b/>
      <sz val="14"/>
      <color rgb="FF000000"/>
      <name val="Times New Roman"/>
      <family val="1"/>
      <charset val="204"/>
    </font>
    <font>
      <b/>
      <sz val="8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7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0"/>
      <color rgb="FF000000"/>
      <name val="Times New Roman"/>
      <family val="1"/>
      <charset val="204"/>
    </font>
    <font>
      <b/>
      <sz val="7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sz val="8"/>
      <color theme="1"/>
      <name val="Calibri"/>
      <family val="2"/>
      <charset val="204"/>
    </font>
    <font>
      <sz val="8"/>
      <color rgb="FF000000"/>
      <name val="Segoe UI"/>
      <family val="2"/>
      <charset val="204"/>
    </font>
    <font>
      <sz val="9"/>
      <color theme="1"/>
      <name val="Segoe UI"/>
      <family val="2"/>
      <charset val="204"/>
    </font>
    <font>
      <sz val="8"/>
      <color theme="1"/>
      <name val="Symbol"/>
      <family val="1"/>
      <charset val="2"/>
    </font>
    <font>
      <sz val="7"/>
      <color theme="1"/>
      <name val="Times New Roman"/>
      <family val="1"/>
      <charset val="204"/>
    </font>
    <font>
      <sz val="8"/>
      <color theme="1"/>
      <name val="Segoe UI"/>
      <family val="2"/>
      <charset val="204"/>
    </font>
    <font>
      <b/>
      <sz val="8"/>
      <color theme="1"/>
      <name val="Segoe UI"/>
      <family val="2"/>
      <charset val="204"/>
    </font>
    <font>
      <sz val="9"/>
      <color theme="1"/>
      <name val="Symbol"/>
      <family val="1"/>
      <charset val="2"/>
    </font>
    <font>
      <sz val="6"/>
      <color rgb="FF000000"/>
      <name val="Segoe UI"/>
      <family val="2"/>
      <charset val="204"/>
    </font>
    <font>
      <b/>
      <i/>
      <sz val="6"/>
      <color rgb="FF000000"/>
      <name val="Segoe UI"/>
      <family val="2"/>
      <charset val="204"/>
    </font>
    <font>
      <sz val="8"/>
      <color theme="1"/>
      <name val="Cambria Math"/>
      <family val="1"/>
      <charset val="204"/>
    </font>
    <font>
      <sz val="8"/>
      <color theme="1"/>
      <name val="Times New Roman"/>
      <family val="1"/>
      <charset val="204"/>
    </font>
    <font>
      <b/>
      <sz val="8"/>
      <color rgb="FF000000"/>
      <name val="Segoe UI"/>
      <family val="2"/>
      <charset val="204"/>
    </font>
    <font>
      <strike/>
      <sz val="8"/>
      <color rgb="FF000000"/>
      <name val="Segoe UI"/>
      <family val="2"/>
      <charset val="204"/>
    </font>
    <font>
      <sz val="10"/>
      <color rgb="FF000000"/>
      <name val="Times New Roman"/>
      <family val="1"/>
      <charset val="204"/>
    </font>
    <font>
      <sz val="7"/>
      <color rgb="FF000000"/>
      <name val="Times New Roman"/>
      <family val="1"/>
      <charset val="204"/>
    </font>
    <font>
      <sz val="8"/>
      <color rgb="FF000000"/>
      <name val="Symbol"/>
      <family val="1"/>
      <charset val="2"/>
    </font>
    <font>
      <b/>
      <sz val="8"/>
      <color theme="1"/>
      <name val="Cambria"/>
      <family val="1"/>
      <charset val="204"/>
    </font>
    <font>
      <sz val="8"/>
      <color theme="1"/>
      <name val="Cambria"/>
      <family val="1"/>
      <charset val="204"/>
    </font>
    <font>
      <b/>
      <sz val="8"/>
      <name val="Times New Roman"/>
      <family val="1"/>
      <charset val="204"/>
    </font>
    <font>
      <i/>
      <sz val="8"/>
      <color rgb="FF555555"/>
      <name val="Arial"/>
      <family val="2"/>
      <charset val="204"/>
    </font>
    <font>
      <u/>
      <sz val="11"/>
      <color theme="10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i/>
      <sz val="11"/>
      <color theme="1"/>
      <name val="Calibri"/>
      <family val="2"/>
      <charset val="204"/>
      <scheme val="minor"/>
    </font>
    <font>
      <b/>
      <i/>
      <sz val="8"/>
      <color rgb="FF000000"/>
      <name val="Segoe UI"/>
      <family val="2"/>
      <charset val="204"/>
    </font>
    <font>
      <b/>
      <sz val="11"/>
      <color rgb="FF000000"/>
      <name val="Times New Roman"/>
      <family val="1"/>
      <charset val="204"/>
    </font>
  </fonts>
  <fills count="8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gray125">
        <bgColor rgb="FFD9D9D9"/>
      </patternFill>
    </fill>
    <fill>
      <patternFill patternType="solid">
        <fgColor rgb="FFFFFFFF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3" fillId="0" borderId="0" applyNumberFormat="0" applyFill="0" applyBorder="0" applyAlignment="0" applyProtection="0"/>
  </cellStyleXfs>
  <cellXfs count="292">
    <xf numFmtId="0" fontId="0" fillId="0" borderId="0" xfId="0"/>
    <xf numFmtId="0" fontId="3" fillId="4" borderId="8" xfId="0" applyFont="1" applyFill="1" applyBorder="1" applyAlignment="1">
      <alignment vertical="center" wrapText="1"/>
    </xf>
    <xf numFmtId="0" fontId="11" fillId="4" borderId="8" xfId="0" applyFont="1" applyFill="1" applyBorder="1" applyAlignment="1">
      <alignment vertical="center" wrapText="1"/>
    </xf>
    <xf numFmtId="0" fontId="13" fillId="4" borderId="8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4" xfId="0" applyFill="1" applyBorder="1" applyAlignment="1">
      <alignment vertical="center" wrapText="1"/>
    </xf>
    <xf numFmtId="0" fontId="14" fillId="0" borderId="9" xfId="0" applyFont="1" applyBorder="1" applyAlignment="1">
      <alignment horizontal="left" vertical="center" wrapText="1" indent="5"/>
    </xf>
    <xf numFmtId="0" fontId="14" fillId="0" borderId="9" xfId="0" applyFont="1" applyBorder="1" applyAlignment="1">
      <alignment vertical="center" wrapText="1"/>
    </xf>
    <xf numFmtId="0" fontId="15" fillId="0" borderId="9" xfId="0" applyFont="1" applyBorder="1" applyAlignment="1">
      <alignment horizontal="left" vertical="center" wrapText="1" indent="5"/>
    </xf>
    <xf numFmtId="0" fontId="17" fillId="0" borderId="9" xfId="0" applyFont="1" applyBorder="1" applyAlignment="1">
      <alignment vertical="center" wrapText="1"/>
    </xf>
    <xf numFmtId="0" fontId="0" fillId="0" borderId="9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13" fillId="4" borderId="4" xfId="0" applyFont="1" applyFill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0" fontId="1" fillId="4" borderId="8" xfId="0" applyFont="1" applyFill="1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17" fillId="0" borderId="9" xfId="0" applyFont="1" applyBorder="1" applyAlignment="1">
      <alignment horizontal="left" vertical="center" wrapText="1" indent="5"/>
    </xf>
    <xf numFmtId="0" fontId="19" fillId="0" borderId="9" xfId="0" applyFont="1" applyBorder="1" applyAlignment="1">
      <alignment horizontal="left" vertical="center" wrapText="1" indent="5"/>
    </xf>
    <xf numFmtId="0" fontId="3" fillId="4" borderId="4" xfId="0" applyFont="1" applyFill="1" applyBorder="1" applyAlignment="1">
      <alignment vertical="center" wrapText="1"/>
    </xf>
    <xf numFmtId="0" fontId="20" fillId="4" borderId="4" xfId="0" applyFont="1" applyFill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12" fillId="0" borderId="8" xfId="0" applyFont="1" applyBorder="1" applyAlignment="1">
      <alignment vertical="center" wrapText="1"/>
    </xf>
    <xf numFmtId="0" fontId="17" fillId="0" borderId="8" xfId="0" applyFont="1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23" fillId="0" borderId="4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13" fillId="0" borderId="6" xfId="0" applyFont="1" applyBorder="1" applyAlignment="1">
      <alignment vertical="center" wrapText="1"/>
    </xf>
    <xf numFmtId="0" fontId="13" fillId="0" borderId="9" xfId="0" applyFont="1" applyBorder="1" applyAlignment="1">
      <alignment horizontal="justify" vertical="center" wrapText="1"/>
    </xf>
    <xf numFmtId="0" fontId="24" fillId="0" borderId="6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13" fillId="0" borderId="9" xfId="0" applyFont="1" applyBorder="1" applyAlignment="1">
      <alignment horizontal="left" vertical="center" wrapText="1" indent="5"/>
    </xf>
    <xf numFmtId="0" fontId="28" fillId="0" borderId="9" xfId="0" applyFont="1" applyBorder="1" applyAlignment="1">
      <alignment horizontal="left" vertical="center" wrapText="1" indent="5"/>
    </xf>
    <xf numFmtId="0" fontId="33" fillId="0" borderId="9" xfId="1" applyBorder="1" applyAlignment="1">
      <alignment vertical="center" wrapText="1"/>
    </xf>
    <xf numFmtId="0" fontId="13" fillId="0" borderId="6" xfId="0" applyFont="1" applyBorder="1" applyAlignment="1">
      <alignment horizontal="justify" vertical="center" wrapText="1"/>
    </xf>
    <xf numFmtId="0" fontId="17" fillId="0" borderId="6" xfId="0" applyFont="1" applyBorder="1" applyAlignment="1">
      <alignment vertical="center" wrapText="1"/>
    </xf>
    <xf numFmtId="0" fontId="31" fillId="0" borderId="8" xfId="0" applyFont="1" applyBorder="1" applyAlignment="1">
      <alignment vertical="center" wrapText="1"/>
    </xf>
    <xf numFmtId="0" fontId="31" fillId="0" borderId="4" xfId="0" applyFont="1" applyBorder="1" applyAlignment="1">
      <alignment vertical="center" wrapText="1"/>
    </xf>
    <xf numFmtId="4" fontId="1" fillId="0" borderId="7" xfId="0" applyNumberFormat="1" applyFont="1" applyBorder="1" applyAlignment="1">
      <alignment vertical="center" wrapText="1"/>
    </xf>
    <xf numFmtId="4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2" fillId="0" borderId="0" xfId="0" applyNumberFormat="1" applyFont="1" applyAlignment="1">
      <alignment vertical="center" wrapText="1"/>
    </xf>
    <xf numFmtId="4" fontId="2" fillId="0" borderId="0" xfId="0" applyNumberFormat="1" applyFont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4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17" fillId="0" borderId="9" xfId="0" applyFont="1" applyBorder="1" applyAlignment="1">
      <alignment horizontal="center" vertical="center" wrapText="1"/>
    </xf>
    <xf numFmtId="0" fontId="9" fillId="3" borderId="1" xfId="0" applyFont="1" applyFill="1" applyBorder="1" applyAlignment="1">
      <alignment vertical="center" wrapText="1"/>
    </xf>
    <xf numFmtId="0" fontId="9" fillId="3" borderId="2" xfId="0" applyFont="1" applyFill="1" applyBorder="1" applyAlignment="1">
      <alignment vertical="center" wrapText="1"/>
    </xf>
    <xf numFmtId="0" fontId="9" fillId="3" borderId="3" xfId="0" applyFont="1" applyFill="1" applyBorder="1" applyAlignment="1">
      <alignment horizontal="center" vertical="center" wrapText="1"/>
    </xf>
    <xf numFmtId="4" fontId="1" fillId="6" borderId="0" xfId="0" applyNumberFormat="1" applyFont="1" applyFill="1" applyAlignment="1">
      <alignment horizontal="center" vertical="center" wrapText="1"/>
    </xf>
    <xf numFmtId="0" fontId="3" fillId="7" borderId="8" xfId="0" applyFont="1" applyFill="1" applyBorder="1" applyAlignment="1">
      <alignment vertical="center" wrapText="1"/>
    </xf>
    <xf numFmtId="0" fontId="13" fillId="7" borderId="9" xfId="0" applyFont="1" applyFill="1" applyBorder="1" applyAlignment="1">
      <alignment vertical="center" wrapText="1"/>
    </xf>
    <xf numFmtId="4" fontId="1" fillId="7" borderId="7" xfId="0" applyNumberFormat="1" applyFont="1" applyFill="1" applyBorder="1" applyAlignment="1">
      <alignment horizontal="center" vertical="center" wrapText="1"/>
    </xf>
    <xf numFmtId="4" fontId="2" fillId="7" borderId="0" xfId="0" applyNumberFormat="1" applyFont="1" applyFill="1" applyAlignment="1">
      <alignment horizontal="center" vertical="center" wrapText="1"/>
    </xf>
    <xf numFmtId="4" fontId="2" fillId="6" borderId="0" xfId="0" applyNumberFormat="1" applyFont="1" applyFill="1" applyAlignment="1">
      <alignment horizontal="center" vertical="center" wrapText="1"/>
    </xf>
    <xf numFmtId="0" fontId="0" fillId="0" borderId="0" xfId="0" applyAlignment="1">
      <alignment horizontal="right"/>
    </xf>
    <xf numFmtId="0" fontId="3" fillId="4" borderId="17" xfId="0" applyFont="1" applyFill="1" applyBorder="1" applyAlignment="1">
      <alignment vertical="center" wrapText="1"/>
    </xf>
    <xf numFmtId="0" fontId="11" fillId="4" borderId="18" xfId="0" applyFont="1" applyFill="1" applyBorder="1" applyAlignment="1">
      <alignment vertical="center" wrapText="1"/>
    </xf>
    <xf numFmtId="0" fontId="13" fillId="4" borderId="18" xfId="0" applyFont="1" applyFill="1" applyBorder="1" applyAlignment="1">
      <alignment vertical="center" wrapText="1"/>
    </xf>
    <xf numFmtId="0" fontId="3" fillId="4" borderId="18" xfId="0" applyFont="1" applyFill="1" applyBorder="1" applyAlignment="1">
      <alignment vertical="center" wrapText="1"/>
    </xf>
    <xf numFmtId="0" fontId="3" fillId="4" borderId="20" xfId="0" applyFont="1" applyFill="1" applyBorder="1" applyAlignment="1">
      <alignment vertical="center" wrapText="1"/>
    </xf>
    <xf numFmtId="0" fontId="1" fillId="0" borderId="21" xfId="0" applyFont="1" applyBorder="1" applyAlignment="1">
      <alignment vertical="center" wrapText="1"/>
    </xf>
    <xf numFmtId="0" fontId="11" fillId="4" borderId="24" xfId="0" applyFont="1" applyFill="1" applyBorder="1" applyAlignment="1">
      <alignment vertical="center" wrapText="1"/>
    </xf>
    <xf numFmtId="0" fontId="13" fillId="4" borderId="24" xfId="0" applyFont="1" applyFill="1" applyBorder="1" applyAlignment="1">
      <alignment vertical="center" wrapText="1"/>
    </xf>
    <xf numFmtId="0" fontId="13" fillId="4" borderId="26" xfId="0" applyFont="1" applyFill="1" applyBorder="1" applyAlignment="1">
      <alignment vertical="center" wrapText="1"/>
    </xf>
    <xf numFmtId="0" fontId="1" fillId="0" borderId="27" xfId="0" applyFont="1" applyBorder="1" applyAlignment="1">
      <alignment vertical="center" wrapText="1"/>
    </xf>
    <xf numFmtId="0" fontId="15" fillId="0" borderId="0" xfId="0" applyFont="1" applyAlignment="1">
      <alignment horizontal="left" vertical="center" wrapText="1" indent="5"/>
    </xf>
    <xf numFmtId="0" fontId="19" fillId="0" borderId="0" xfId="0" applyFont="1" applyAlignment="1">
      <alignment horizontal="left" vertical="center" wrapText="1" indent="5"/>
    </xf>
    <xf numFmtId="0" fontId="17" fillId="0" borderId="0" xfId="0" applyFont="1" applyAlignment="1">
      <alignment vertical="center" wrapText="1"/>
    </xf>
    <xf numFmtId="0" fontId="15" fillId="0" borderId="0" xfId="0" applyFont="1" applyAlignment="1">
      <alignment horizontal="left" vertical="top" indent="5"/>
    </xf>
    <xf numFmtId="0" fontId="3" fillId="0" borderId="20" xfId="0" applyFont="1" applyBorder="1" applyAlignment="1">
      <alignment vertical="center" wrapText="1"/>
    </xf>
    <xf numFmtId="0" fontId="3" fillId="0" borderId="24" xfId="0" applyFont="1" applyBorder="1" applyAlignment="1">
      <alignment vertical="center" wrapText="1"/>
    </xf>
    <xf numFmtId="0" fontId="12" fillId="0" borderId="24" xfId="0" applyFont="1" applyBorder="1" applyAlignment="1">
      <alignment vertical="center" wrapText="1"/>
    </xf>
    <xf numFmtId="0" fontId="17" fillId="0" borderId="41" xfId="0" applyFont="1" applyBorder="1" applyAlignment="1">
      <alignment vertical="center" wrapText="1"/>
    </xf>
    <xf numFmtId="0" fontId="17" fillId="0" borderId="24" xfId="0" applyFont="1" applyBorder="1" applyAlignment="1">
      <alignment vertical="center" wrapText="1"/>
    </xf>
    <xf numFmtId="0" fontId="0" fillId="0" borderId="0" xfId="0" applyAlignment="1">
      <alignment vertical="top" wrapText="1"/>
    </xf>
    <xf numFmtId="0" fontId="0" fillId="0" borderId="18" xfId="0" applyBorder="1"/>
    <xf numFmtId="0" fontId="0" fillId="0" borderId="19" xfId="0" applyBorder="1"/>
    <xf numFmtId="0" fontId="13" fillId="4" borderId="19" xfId="0" applyFont="1" applyFill="1" applyBorder="1" applyAlignment="1">
      <alignment vertical="center" wrapText="1"/>
    </xf>
    <xf numFmtId="0" fontId="0" fillId="0" borderId="17" xfId="0" applyBorder="1"/>
    <xf numFmtId="0" fontId="0" fillId="0" borderId="0" xfId="0" applyAlignment="1">
      <alignment vertical="center" wrapText="1"/>
    </xf>
    <xf numFmtId="0" fontId="3" fillId="0" borderId="17" xfId="0" applyFont="1" applyBorder="1" applyAlignment="1">
      <alignment vertical="center" wrapText="1"/>
    </xf>
    <xf numFmtId="0" fontId="12" fillId="0" borderId="18" xfId="0" applyFont="1" applyBorder="1" applyAlignment="1">
      <alignment vertical="center" wrapText="1"/>
    </xf>
    <xf numFmtId="0" fontId="17" fillId="0" borderId="19" xfId="0" applyFont="1" applyBorder="1" applyAlignment="1">
      <alignment vertical="center" wrapText="1"/>
    </xf>
    <xf numFmtId="0" fontId="17" fillId="0" borderId="18" xfId="0" applyFont="1" applyBorder="1" applyAlignment="1">
      <alignment vertical="center" wrapText="1"/>
    </xf>
    <xf numFmtId="0" fontId="34" fillId="0" borderId="0" xfId="0" applyFont="1" applyAlignment="1">
      <alignment vertical="center"/>
    </xf>
    <xf numFmtId="0" fontId="34" fillId="0" borderId="0" xfId="0" applyFont="1"/>
    <xf numFmtId="0" fontId="35" fillId="0" borderId="0" xfId="0" applyFont="1" applyAlignment="1">
      <alignment horizontal="right"/>
    </xf>
    <xf numFmtId="0" fontId="35" fillId="0" borderId="0" xfId="0" applyFont="1"/>
    <xf numFmtId="0" fontId="15" fillId="0" borderId="35" xfId="0" applyFont="1" applyBorder="1" applyAlignment="1">
      <alignment horizontal="left" vertical="center" wrapText="1" indent="5"/>
    </xf>
    <xf numFmtId="0" fontId="18" fillId="0" borderId="17" xfId="0" applyFont="1" applyBorder="1" applyAlignment="1">
      <alignment vertical="center" wrapText="1"/>
    </xf>
    <xf numFmtId="0" fontId="0" fillId="6" borderId="0" xfId="0" applyFill="1"/>
    <xf numFmtId="0" fontId="0" fillId="6" borderId="0" xfId="0" applyFill="1" applyAlignment="1">
      <alignment horizontal="center" vertical="center"/>
    </xf>
    <xf numFmtId="0" fontId="5" fillId="6" borderId="36" xfId="0" applyFont="1" applyFill="1" applyBorder="1" applyAlignment="1">
      <alignment horizontal="center" vertical="center" wrapText="1"/>
    </xf>
    <xf numFmtId="0" fontId="5" fillId="6" borderId="46" xfId="0" applyFont="1" applyFill="1" applyBorder="1" applyAlignment="1">
      <alignment horizontal="center" vertical="center" wrapText="1"/>
    </xf>
    <xf numFmtId="0" fontId="5" fillId="6" borderId="37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vertical="center" wrapText="1"/>
    </xf>
    <xf numFmtId="0" fontId="5" fillId="6" borderId="26" xfId="0" applyFont="1" applyFill="1" applyBorder="1" applyAlignment="1">
      <alignment vertical="center" wrapText="1"/>
    </xf>
    <xf numFmtId="0" fontId="31" fillId="6" borderId="26" xfId="0" applyFont="1" applyFill="1" applyBorder="1" applyAlignment="1">
      <alignment vertical="center" wrapText="1"/>
    </xf>
    <xf numFmtId="0" fontId="31" fillId="6" borderId="20" xfId="0" applyFont="1" applyFill="1" applyBorder="1" applyAlignment="1">
      <alignment vertical="center" wrapText="1"/>
    </xf>
    <xf numFmtId="0" fontId="11" fillId="6" borderId="18" xfId="0" applyFont="1" applyFill="1" applyBorder="1" applyAlignment="1">
      <alignment vertical="center" wrapText="1"/>
    </xf>
    <xf numFmtId="0" fontId="13" fillId="6" borderId="19" xfId="0" applyFont="1" applyFill="1" applyBorder="1" applyAlignment="1">
      <alignment vertical="center" wrapText="1"/>
    </xf>
    <xf numFmtId="0" fontId="3" fillId="6" borderId="17" xfId="0" applyFont="1" applyFill="1" applyBorder="1" applyAlignment="1">
      <alignment vertical="center" wrapText="1"/>
    </xf>
    <xf numFmtId="0" fontId="0" fillId="6" borderId="17" xfId="0" applyFill="1" applyBorder="1"/>
    <xf numFmtId="0" fontId="3" fillId="6" borderId="18" xfId="0" applyFont="1" applyFill="1" applyBorder="1" applyAlignment="1">
      <alignment vertical="center" wrapText="1"/>
    </xf>
    <xf numFmtId="0" fontId="13" fillId="6" borderId="18" xfId="0" applyFont="1" applyFill="1" applyBorder="1" applyAlignment="1">
      <alignment vertical="center" wrapText="1"/>
    </xf>
    <xf numFmtId="0" fontId="36" fillId="6" borderId="17" xfId="0" applyFont="1" applyFill="1" applyBorder="1" applyAlignment="1">
      <alignment vertical="center" wrapText="1"/>
    </xf>
    <xf numFmtId="0" fontId="24" fillId="6" borderId="17" xfId="0" applyFont="1" applyFill="1" applyBorder="1" applyAlignment="1">
      <alignment vertical="center" wrapText="1"/>
    </xf>
    <xf numFmtId="0" fontId="3" fillId="6" borderId="19" xfId="0" applyFont="1" applyFill="1" applyBorder="1" applyAlignment="1">
      <alignment vertical="center" wrapText="1"/>
    </xf>
    <xf numFmtId="0" fontId="13" fillId="6" borderId="0" xfId="0" applyFont="1" applyFill="1" applyAlignment="1">
      <alignment vertical="center" wrapText="1"/>
    </xf>
    <xf numFmtId="0" fontId="3" fillId="6" borderId="24" xfId="0" applyFont="1" applyFill="1" applyBorder="1" applyAlignment="1">
      <alignment vertical="center" wrapText="1"/>
    </xf>
    <xf numFmtId="0" fontId="24" fillId="6" borderId="7" xfId="0" applyFont="1" applyFill="1" applyBorder="1" applyAlignment="1">
      <alignment vertical="center" wrapText="1"/>
    </xf>
    <xf numFmtId="0" fontId="13" fillId="6" borderId="7" xfId="0" applyFont="1" applyFill="1" applyBorder="1" applyAlignment="1">
      <alignment vertical="center" wrapText="1"/>
    </xf>
    <xf numFmtId="0" fontId="3" fillId="6" borderId="16" xfId="0" applyFont="1" applyFill="1" applyBorder="1" applyAlignment="1">
      <alignment vertical="center" wrapText="1"/>
    </xf>
    <xf numFmtId="0" fontId="13" fillId="6" borderId="0" xfId="0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5" fillId="6" borderId="43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horizontal="center" vertical="center" wrapText="1"/>
    </xf>
    <xf numFmtId="0" fontId="13" fillId="6" borderId="32" xfId="0" applyFont="1" applyFill="1" applyBorder="1" applyAlignment="1">
      <alignment horizontal="center" vertical="center" wrapText="1"/>
    </xf>
    <xf numFmtId="0" fontId="3" fillId="6" borderId="26" xfId="0" applyFont="1" applyFill="1" applyBorder="1" applyAlignment="1">
      <alignment vertical="center" wrapText="1"/>
    </xf>
    <xf numFmtId="0" fontId="20" fillId="6" borderId="19" xfId="0" applyFont="1" applyFill="1" applyBorder="1" applyAlignment="1">
      <alignment vertical="center" wrapText="1"/>
    </xf>
    <xf numFmtId="0" fontId="11" fillId="6" borderId="24" xfId="0" applyFont="1" applyFill="1" applyBorder="1" applyAlignment="1">
      <alignment vertical="center" wrapText="1"/>
    </xf>
    <xf numFmtId="0" fontId="13" fillId="6" borderId="24" xfId="0" applyFont="1" applyFill="1" applyBorder="1" applyAlignment="1">
      <alignment vertical="center" wrapText="1"/>
    </xf>
    <xf numFmtId="0" fontId="0" fillId="6" borderId="24" xfId="0" applyFill="1" applyBorder="1" applyAlignment="1">
      <alignment vertical="center" wrapText="1"/>
    </xf>
    <xf numFmtId="0" fontId="15" fillId="0" borderId="34" xfId="0" applyFont="1" applyBorder="1" applyAlignment="1">
      <alignment horizontal="left" vertical="center" wrapText="1" indent="5"/>
    </xf>
    <xf numFmtId="0" fontId="15" fillId="0" borderId="38" xfId="0" applyFont="1" applyBorder="1" applyAlignment="1">
      <alignment horizontal="left" vertical="center" wrapText="1" indent="5"/>
    </xf>
    <xf numFmtId="0" fontId="15" fillId="0" borderId="52" xfId="0" applyFont="1" applyBorder="1" applyAlignment="1">
      <alignment horizontal="left" vertical="center" wrapText="1" indent="5"/>
    </xf>
    <xf numFmtId="0" fontId="15" fillId="0" borderId="53" xfId="0" applyFont="1" applyBorder="1" applyAlignment="1">
      <alignment horizontal="left" vertical="center" wrapText="1" indent="5"/>
    </xf>
    <xf numFmtId="0" fontId="13" fillId="6" borderId="53" xfId="0" applyFont="1" applyFill="1" applyBorder="1" applyAlignment="1">
      <alignment horizontal="justify" vertical="center" wrapText="1"/>
    </xf>
    <xf numFmtId="0" fontId="13" fillId="6" borderId="38" xfId="0" applyFont="1" applyFill="1" applyBorder="1" applyAlignment="1">
      <alignment horizontal="justify" vertical="center" wrapText="1"/>
    </xf>
    <xf numFmtId="0" fontId="13" fillId="6" borderId="52" xfId="0" applyFont="1" applyFill="1" applyBorder="1" applyAlignment="1">
      <alignment horizontal="justify" vertical="center" wrapText="1"/>
    </xf>
    <xf numFmtId="0" fontId="13" fillId="6" borderId="53" xfId="0" applyFont="1" applyFill="1" applyBorder="1" applyAlignment="1">
      <alignment vertical="center" wrapText="1"/>
    </xf>
    <xf numFmtId="0" fontId="13" fillId="6" borderId="52" xfId="0" applyFont="1" applyFill="1" applyBorder="1" applyAlignment="1">
      <alignment vertical="center" wrapText="1"/>
    </xf>
    <xf numFmtId="0" fontId="0" fillId="6" borderId="56" xfId="0" applyFill="1" applyBorder="1" applyAlignment="1">
      <alignment horizontal="center" vertical="center" wrapText="1"/>
    </xf>
    <xf numFmtId="0" fontId="0" fillId="6" borderId="51" xfId="0" applyFill="1" applyBorder="1" applyAlignment="1">
      <alignment horizontal="center" vertical="center" wrapText="1"/>
    </xf>
    <xf numFmtId="0" fontId="0" fillId="6" borderId="57" xfId="0" applyFill="1" applyBorder="1" applyAlignment="1">
      <alignment horizontal="center" vertical="center" wrapText="1"/>
    </xf>
    <xf numFmtId="0" fontId="17" fillId="6" borderId="40" xfId="0" applyFont="1" applyFill="1" applyBorder="1" applyAlignment="1">
      <alignment horizontal="center" vertical="center" wrapText="1"/>
    </xf>
    <xf numFmtId="0" fontId="17" fillId="6" borderId="58" xfId="0" applyFont="1" applyFill="1" applyBorder="1" applyAlignment="1">
      <alignment horizontal="center" vertical="center" wrapText="1"/>
    </xf>
    <xf numFmtId="0" fontId="17" fillId="6" borderId="32" xfId="0" applyFont="1" applyFill="1" applyBorder="1" applyAlignment="1">
      <alignment vertical="center" wrapText="1"/>
    </xf>
    <xf numFmtId="0" fontId="3" fillId="6" borderId="59" xfId="0" applyFont="1" applyFill="1" applyBorder="1" applyAlignment="1">
      <alignment horizontal="center" vertical="center" wrapText="1"/>
    </xf>
    <xf numFmtId="0" fontId="3" fillId="6" borderId="60" xfId="0" applyFont="1" applyFill="1" applyBorder="1" applyAlignment="1">
      <alignment horizontal="center" vertical="center" wrapText="1"/>
    </xf>
    <xf numFmtId="0" fontId="3" fillId="6" borderId="61" xfId="0" applyFont="1" applyFill="1" applyBorder="1" applyAlignment="1">
      <alignment horizontal="center" vertical="center" wrapText="1"/>
    </xf>
    <xf numFmtId="0" fontId="17" fillId="6" borderId="34" xfId="0" applyFont="1" applyFill="1" applyBorder="1" applyAlignment="1">
      <alignment vertical="center" wrapText="1"/>
    </xf>
    <xf numFmtId="0" fontId="14" fillId="0" borderId="0" xfId="0" applyFont="1" applyAlignment="1">
      <alignment horizontal="left" vertical="center" wrapText="1" indent="5"/>
    </xf>
    <xf numFmtId="0" fontId="14" fillId="0" borderId="0" xfId="0" applyFont="1" applyAlignment="1">
      <alignment vertical="center" wrapText="1"/>
    </xf>
    <xf numFmtId="4" fontId="2" fillId="0" borderId="64" xfId="0" applyNumberFormat="1" applyFont="1" applyBorder="1" applyAlignment="1">
      <alignment horizontal="center" vertical="center" wrapText="1"/>
    </xf>
    <xf numFmtId="0" fontId="5" fillId="6" borderId="17" xfId="0" applyFont="1" applyFill="1" applyBorder="1" applyAlignment="1">
      <alignment vertical="center" wrapText="1"/>
    </xf>
    <xf numFmtId="4" fontId="0" fillId="0" borderId="0" xfId="0" applyNumberFormat="1" applyAlignment="1">
      <alignment horizontal="center" vertical="center"/>
    </xf>
    <xf numFmtId="4" fontId="0" fillId="6" borderId="0" xfId="0" applyNumberFormat="1" applyFill="1" applyAlignment="1">
      <alignment horizontal="center" vertical="center"/>
    </xf>
    <xf numFmtId="0" fontId="5" fillId="6" borderId="45" xfId="0" applyFont="1" applyFill="1" applyBorder="1" applyAlignment="1">
      <alignment horizontal="center" vertical="center" wrapText="1"/>
    </xf>
    <xf numFmtId="0" fontId="24" fillId="6" borderId="0" xfId="0" applyFont="1" applyFill="1" applyAlignment="1">
      <alignment horizontal="center" vertical="center" wrapText="1"/>
    </xf>
    <xf numFmtId="4" fontId="0" fillId="6" borderId="59" xfId="0" applyNumberFormat="1" applyFill="1" applyBorder="1" applyAlignment="1">
      <alignment horizontal="center" vertical="center"/>
    </xf>
    <xf numFmtId="4" fontId="0" fillId="6" borderId="60" xfId="0" applyNumberFormat="1" applyFill="1" applyBorder="1" applyAlignment="1">
      <alignment horizontal="center" vertical="center"/>
    </xf>
    <xf numFmtId="4" fontId="0" fillId="6" borderId="61" xfId="0" applyNumberForma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 indent="15"/>
    </xf>
    <xf numFmtId="0" fontId="6" fillId="3" borderId="2" xfId="0" applyFont="1" applyFill="1" applyBorder="1" applyAlignment="1">
      <alignment horizontal="left" vertical="center" wrapText="1" indent="15"/>
    </xf>
    <xf numFmtId="0" fontId="6" fillId="3" borderId="3" xfId="0" applyFont="1" applyFill="1" applyBorder="1" applyAlignment="1">
      <alignment horizontal="left" vertical="center" wrapText="1" indent="15"/>
    </xf>
    <xf numFmtId="4" fontId="1" fillId="0" borderId="10" xfId="0" applyNumberFormat="1" applyFont="1" applyBorder="1" applyAlignment="1">
      <alignment horizontal="center" vertical="center" wrapText="1"/>
    </xf>
    <xf numFmtId="4" fontId="2" fillId="0" borderId="0" xfId="0" applyNumberFormat="1" applyFont="1" applyAlignment="1">
      <alignment horizontal="center" vertical="center" wrapText="1"/>
    </xf>
    <xf numFmtId="4" fontId="1" fillId="0" borderId="11" xfId="0" applyNumberFormat="1" applyFont="1" applyBorder="1" applyAlignment="1">
      <alignment horizontal="center" vertical="center" wrapText="1"/>
    </xf>
    <xf numFmtId="0" fontId="9" fillId="2" borderId="5" xfId="0" applyFont="1" applyFill="1" applyBorder="1" applyAlignment="1">
      <alignment horizontal="justify" vertical="center" wrapText="1"/>
    </xf>
    <xf numFmtId="0" fontId="9" fillId="2" borderId="7" xfId="0" applyFont="1" applyFill="1" applyBorder="1" applyAlignment="1">
      <alignment horizontal="justify" vertical="center" wrapText="1"/>
    </xf>
    <xf numFmtId="0" fontId="9" fillId="2" borderId="6" xfId="0" applyFont="1" applyFill="1" applyBorder="1" applyAlignment="1">
      <alignment horizontal="justify" vertical="center" wrapText="1"/>
    </xf>
    <xf numFmtId="4" fontId="2" fillId="6" borderId="0" xfId="0" applyNumberFormat="1" applyFont="1" applyFill="1" applyAlignment="1">
      <alignment horizontal="center" vertical="center" wrapText="1"/>
    </xf>
    <xf numFmtId="4" fontId="1" fillId="0" borderId="5" xfId="0" applyNumberFormat="1" applyFont="1" applyBorder="1" applyAlignment="1">
      <alignment horizontal="center" vertical="center" wrapText="1"/>
    </xf>
    <xf numFmtId="0" fontId="9" fillId="3" borderId="1" xfId="0" applyFont="1" applyFill="1" applyBorder="1" applyAlignment="1">
      <alignment horizontal="left" vertical="center" wrapText="1" indent="6"/>
    </xf>
    <xf numFmtId="0" fontId="9" fillId="3" borderId="2" xfId="0" applyFont="1" applyFill="1" applyBorder="1" applyAlignment="1">
      <alignment horizontal="left" vertical="center" wrapText="1" indent="6"/>
    </xf>
    <xf numFmtId="0" fontId="9" fillId="3" borderId="3" xfId="0" applyFont="1" applyFill="1" applyBorder="1" applyAlignment="1">
      <alignment horizontal="left" vertical="center" wrapText="1" indent="6"/>
    </xf>
    <xf numFmtId="0" fontId="13" fillId="0" borderId="12" xfId="0" applyFont="1" applyBorder="1" applyAlignment="1">
      <alignment vertical="center" wrapText="1"/>
    </xf>
    <xf numFmtId="0" fontId="13" fillId="0" borderId="8" xfId="0" applyFont="1" applyBorder="1" applyAlignment="1">
      <alignment vertical="center" wrapText="1"/>
    </xf>
    <xf numFmtId="0" fontId="13" fillId="0" borderId="4" xfId="0" applyFont="1" applyBorder="1" applyAlignment="1">
      <alignment vertical="center" wrapText="1"/>
    </xf>
    <xf numFmtId="0" fontId="6" fillId="5" borderId="1" xfId="0" applyFont="1" applyFill="1" applyBorder="1" applyAlignment="1">
      <alignment horizontal="left" vertical="center" wrapText="1" indent="15"/>
    </xf>
    <xf numFmtId="0" fontId="6" fillId="5" borderId="2" xfId="0" applyFont="1" applyFill="1" applyBorder="1" applyAlignment="1">
      <alignment horizontal="left" vertical="center" wrapText="1" indent="15"/>
    </xf>
    <xf numFmtId="0" fontId="6" fillId="5" borderId="3" xfId="0" applyFont="1" applyFill="1" applyBorder="1" applyAlignment="1">
      <alignment horizontal="left" vertical="center" wrapText="1" indent="15"/>
    </xf>
    <xf numFmtId="4" fontId="1" fillId="6" borderId="10" xfId="0" applyNumberFormat="1" applyFont="1" applyFill="1" applyBorder="1" applyAlignment="1">
      <alignment horizontal="center" vertical="center" wrapText="1"/>
    </xf>
    <xf numFmtId="0" fontId="3" fillId="0" borderId="12" xfId="0" applyFont="1" applyBorder="1" applyAlignment="1">
      <alignment vertical="center" wrapText="1"/>
    </xf>
    <xf numFmtId="0" fontId="3" fillId="0" borderId="8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3" fillId="4" borderId="12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4" xfId="0" applyFont="1" applyFill="1" applyBorder="1" applyAlignment="1">
      <alignment vertical="center" wrapText="1"/>
    </xf>
    <xf numFmtId="4" fontId="1" fillId="6" borderId="11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justify" vertical="center" wrapText="1"/>
    </xf>
    <xf numFmtId="0" fontId="9" fillId="2" borderId="13" xfId="0" applyFont="1" applyFill="1" applyBorder="1" applyAlignment="1">
      <alignment horizontal="justify" vertical="center" wrapText="1"/>
    </xf>
    <xf numFmtId="0" fontId="9" fillId="2" borderId="14" xfId="0" applyFont="1" applyFill="1" applyBorder="1" applyAlignment="1">
      <alignment horizontal="justify" vertical="center" wrapText="1"/>
    </xf>
    <xf numFmtId="0" fontId="26" fillId="2" borderId="5" xfId="0" applyFont="1" applyFill="1" applyBorder="1" applyAlignment="1">
      <alignment vertical="center" wrapText="1"/>
    </xf>
    <xf numFmtId="0" fontId="26" fillId="2" borderId="7" xfId="0" applyFont="1" applyFill="1" applyBorder="1" applyAlignment="1">
      <alignment vertical="center" wrapText="1"/>
    </xf>
    <xf numFmtId="0" fontId="26" fillId="2" borderId="6" xfId="0" applyFont="1" applyFill="1" applyBorder="1" applyAlignment="1">
      <alignment vertical="center" wrapText="1"/>
    </xf>
    <xf numFmtId="4" fontId="2" fillId="0" borderId="10" xfId="0" applyNumberFormat="1" applyFont="1" applyBorder="1" applyAlignment="1">
      <alignment vertical="center" wrapText="1"/>
    </xf>
    <xf numFmtId="0" fontId="13" fillId="0" borderId="1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7" fillId="0" borderId="12" xfId="0" applyFont="1" applyBorder="1" applyAlignment="1">
      <alignment vertical="center" wrapText="1"/>
    </xf>
    <xf numFmtId="0" fontId="17" fillId="0" borderId="4" xfId="0" applyFont="1" applyBorder="1" applyAlignment="1">
      <alignment vertical="center" wrapText="1"/>
    </xf>
    <xf numFmtId="0" fontId="6" fillId="2" borderId="5" xfId="0" applyFont="1" applyFill="1" applyBorder="1" applyAlignment="1">
      <alignment horizontal="left" vertical="center" wrapText="1" indent="15"/>
    </xf>
    <xf numFmtId="0" fontId="6" fillId="2" borderId="7" xfId="0" applyFont="1" applyFill="1" applyBorder="1" applyAlignment="1">
      <alignment horizontal="left" vertical="center" wrapText="1" indent="15"/>
    </xf>
    <xf numFmtId="0" fontId="6" fillId="2" borderId="6" xfId="0" applyFont="1" applyFill="1" applyBorder="1" applyAlignment="1">
      <alignment horizontal="left" vertical="center" wrapText="1" indent="15"/>
    </xf>
    <xf numFmtId="0" fontId="13" fillId="0" borderId="8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17" fillId="0" borderId="8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 indent="6"/>
    </xf>
    <xf numFmtId="0" fontId="9" fillId="2" borderId="2" xfId="0" applyFont="1" applyFill="1" applyBorder="1" applyAlignment="1">
      <alignment horizontal="left" vertical="center" wrapText="1" indent="6"/>
    </xf>
    <xf numFmtId="0" fontId="9" fillId="2" borderId="3" xfId="0" applyFont="1" applyFill="1" applyBorder="1" applyAlignment="1">
      <alignment horizontal="left" vertical="center" wrapText="1" indent="6"/>
    </xf>
    <xf numFmtId="0" fontId="6" fillId="2" borderId="1" xfId="0" applyFont="1" applyFill="1" applyBorder="1" applyAlignment="1">
      <alignment horizontal="left" vertical="center" wrapText="1" indent="15"/>
    </xf>
    <xf numFmtId="0" fontId="6" fillId="2" borderId="2" xfId="0" applyFont="1" applyFill="1" applyBorder="1" applyAlignment="1">
      <alignment horizontal="left" vertical="center" wrapText="1" indent="15"/>
    </xf>
    <xf numFmtId="0" fontId="6" fillId="2" borderId="3" xfId="0" applyFont="1" applyFill="1" applyBorder="1" applyAlignment="1">
      <alignment horizontal="left" vertical="center" wrapText="1" indent="15"/>
    </xf>
    <xf numFmtId="0" fontId="9" fillId="2" borderId="1" xfId="0" applyFont="1" applyFill="1" applyBorder="1" applyAlignment="1">
      <alignment horizontal="left" vertical="center" wrapText="1" indent="4"/>
    </xf>
    <xf numFmtId="0" fontId="9" fillId="2" borderId="2" xfId="0" applyFont="1" applyFill="1" applyBorder="1" applyAlignment="1">
      <alignment horizontal="left" vertical="center" wrapText="1" indent="4"/>
    </xf>
    <xf numFmtId="0" fontId="9" fillId="2" borderId="3" xfId="0" applyFont="1" applyFill="1" applyBorder="1" applyAlignment="1">
      <alignment horizontal="left" vertical="center" wrapText="1" indent="4"/>
    </xf>
    <xf numFmtId="0" fontId="6" fillId="6" borderId="44" xfId="0" applyFont="1" applyFill="1" applyBorder="1" applyAlignment="1">
      <alignment horizontal="center" vertical="center" wrapText="1"/>
    </xf>
    <xf numFmtId="0" fontId="6" fillId="6" borderId="15" xfId="0" applyFont="1" applyFill="1" applyBorder="1" applyAlignment="1">
      <alignment horizontal="center" vertical="center" wrapText="1"/>
    </xf>
    <xf numFmtId="0" fontId="6" fillId="6" borderId="42" xfId="0" applyFont="1" applyFill="1" applyBorder="1" applyAlignment="1">
      <alignment horizontal="center" vertical="center" wrapText="1"/>
    </xf>
    <xf numFmtId="0" fontId="1" fillId="0" borderId="30" xfId="0" applyFont="1" applyBorder="1" applyAlignment="1">
      <alignment horizontal="left" vertical="center" wrapText="1"/>
    </xf>
    <xf numFmtId="0" fontId="1" fillId="0" borderId="8" xfId="0" applyFont="1" applyBorder="1" applyAlignment="1">
      <alignment horizontal="left" vertical="center" wrapText="1"/>
    </xf>
    <xf numFmtId="0" fontId="1" fillId="0" borderId="31" xfId="0" applyFont="1" applyBorder="1" applyAlignment="1">
      <alignment horizontal="left" vertical="center" wrapText="1"/>
    </xf>
    <xf numFmtId="4" fontId="0" fillId="6" borderId="60" xfId="0" applyNumberFormat="1" applyFill="1" applyBorder="1" applyAlignment="1">
      <alignment horizontal="center" vertical="center"/>
    </xf>
    <xf numFmtId="4" fontId="0" fillId="6" borderId="59" xfId="0" applyNumberFormat="1" applyFill="1" applyBorder="1" applyAlignment="1">
      <alignment horizontal="center" vertical="center"/>
    </xf>
    <xf numFmtId="4" fontId="0" fillId="6" borderId="61" xfId="0" applyNumberFormat="1" applyFill="1" applyBorder="1" applyAlignment="1">
      <alignment horizontal="center" vertical="center"/>
    </xf>
    <xf numFmtId="0" fontId="6" fillId="6" borderId="50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 vertical="center" wrapText="1"/>
    </xf>
    <xf numFmtId="0" fontId="6" fillId="6" borderId="64" xfId="0" applyFont="1" applyFill="1" applyBorder="1" applyAlignment="1">
      <alignment horizontal="center" vertical="center" wrapText="1"/>
    </xf>
    <xf numFmtId="0" fontId="6" fillId="6" borderId="55" xfId="0" applyFont="1" applyFill="1" applyBorder="1" applyAlignment="1">
      <alignment horizontal="center" vertical="center" wrapText="1"/>
    </xf>
    <xf numFmtId="0" fontId="17" fillId="6" borderId="22" xfId="0" applyFont="1" applyFill="1" applyBorder="1" applyAlignment="1">
      <alignment vertical="center" wrapText="1"/>
    </xf>
    <xf numFmtId="0" fontId="17" fillId="6" borderId="28" xfId="0" applyFont="1" applyFill="1" applyBorder="1" applyAlignment="1">
      <alignment vertical="center" wrapText="1"/>
    </xf>
    <xf numFmtId="4" fontId="2" fillId="6" borderId="60" xfId="0" applyNumberFormat="1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6" fillId="3" borderId="48" xfId="0" applyFont="1" applyFill="1" applyBorder="1" applyAlignment="1">
      <alignment horizontal="center" vertical="center" wrapText="1"/>
    </xf>
    <xf numFmtId="0" fontId="6" fillId="3" borderId="32" xfId="0" applyFont="1" applyFill="1" applyBorder="1" applyAlignment="1">
      <alignment horizontal="center" vertical="center" wrapText="1"/>
    </xf>
    <xf numFmtId="0" fontId="6" fillId="3" borderId="49" xfId="0" applyFont="1" applyFill="1" applyBorder="1" applyAlignment="1">
      <alignment horizontal="center" vertical="center" wrapText="1"/>
    </xf>
    <xf numFmtId="0" fontId="9" fillId="2" borderId="48" xfId="0" applyFont="1" applyFill="1" applyBorder="1" applyAlignment="1">
      <alignment horizontal="center" vertical="center" wrapText="1"/>
    </xf>
    <xf numFmtId="0" fontId="9" fillId="2" borderId="32" xfId="0" applyFont="1" applyFill="1" applyBorder="1" applyAlignment="1">
      <alignment horizontal="center" vertical="center" wrapText="1"/>
    </xf>
    <xf numFmtId="0" fontId="9" fillId="2" borderId="23" xfId="0" applyFont="1" applyFill="1" applyBorder="1" applyAlignment="1">
      <alignment horizontal="center" vertical="center" wrapText="1"/>
    </xf>
    <xf numFmtId="0" fontId="9" fillId="3" borderId="48" xfId="0" applyFont="1" applyFill="1" applyBorder="1" applyAlignment="1">
      <alignment horizontal="center" vertical="center" wrapText="1"/>
    </xf>
    <xf numFmtId="0" fontId="9" fillId="3" borderId="32" xfId="0" applyFont="1" applyFill="1" applyBorder="1" applyAlignment="1">
      <alignment horizontal="center" vertical="center" wrapText="1"/>
    </xf>
    <xf numFmtId="0" fontId="9" fillId="3" borderId="23" xfId="0" applyFont="1" applyFill="1" applyBorder="1" applyAlignment="1">
      <alignment horizontal="center" vertical="center" wrapText="1"/>
    </xf>
    <xf numFmtId="0" fontId="3" fillId="6" borderId="24" xfId="0" applyFont="1" applyFill="1" applyBorder="1" applyAlignment="1">
      <alignment vertical="center" wrapText="1"/>
    </xf>
    <xf numFmtId="0" fontId="3" fillId="6" borderId="41" xfId="0" applyFont="1" applyFill="1" applyBorder="1" applyAlignment="1">
      <alignment vertical="center" wrapText="1"/>
    </xf>
    <xf numFmtId="0" fontId="3" fillId="6" borderId="18" xfId="0" applyFont="1" applyFill="1" applyBorder="1" applyAlignment="1">
      <alignment vertical="center" wrapText="1"/>
    </xf>
    <xf numFmtId="0" fontId="3" fillId="6" borderId="19" xfId="0" applyFont="1" applyFill="1" applyBorder="1" applyAlignment="1">
      <alignment vertical="center" wrapText="1"/>
    </xf>
    <xf numFmtId="0" fontId="9" fillId="2" borderId="25" xfId="0" applyFont="1" applyFill="1" applyBorder="1" applyAlignment="1">
      <alignment horizontal="center" vertical="center" wrapText="1"/>
    </xf>
    <xf numFmtId="4" fontId="0" fillId="6" borderId="17" xfId="0" applyNumberFormat="1" applyFill="1" applyBorder="1" applyAlignment="1">
      <alignment horizontal="center" vertical="center"/>
    </xf>
    <xf numFmtId="4" fontId="0" fillId="6" borderId="18" xfId="0" applyNumberFormat="1" applyFill="1" applyBorder="1" applyAlignment="1">
      <alignment horizontal="center" vertical="center"/>
    </xf>
    <xf numFmtId="4" fontId="0" fillId="6" borderId="65" xfId="0" applyNumberFormat="1" applyFill="1" applyBorder="1" applyAlignment="1">
      <alignment horizontal="center" vertical="center"/>
    </xf>
    <xf numFmtId="4" fontId="0" fillId="6" borderId="66" xfId="0" applyNumberFormat="1" applyFill="1" applyBorder="1" applyAlignment="1">
      <alignment horizontal="center" vertical="center"/>
    </xf>
    <xf numFmtId="4" fontId="2" fillId="0" borderId="23" xfId="0" applyNumberFormat="1" applyFont="1" applyBorder="1" applyAlignment="1">
      <alignment horizontal="center" vertical="center" wrapText="1"/>
    </xf>
    <xf numFmtId="4" fontId="2" fillId="0" borderId="25" xfId="0" applyNumberFormat="1" applyFont="1" applyBorder="1" applyAlignment="1">
      <alignment horizontal="center" vertical="center" wrapText="1"/>
    </xf>
    <xf numFmtId="4" fontId="2" fillId="0" borderId="29" xfId="0" applyNumberFormat="1" applyFont="1" applyBorder="1" applyAlignment="1">
      <alignment horizontal="center" vertical="center" wrapText="1"/>
    </xf>
    <xf numFmtId="4" fontId="0" fillId="6" borderId="19" xfId="0" applyNumberFormat="1" applyFill="1" applyBorder="1" applyAlignment="1">
      <alignment horizontal="center" vertical="center"/>
    </xf>
    <xf numFmtId="0" fontId="9" fillId="2" borderId="38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6" fillId="0" borderId="63" xfId="0" applyFont="1" applyBorder="1" applyAlignment="1">
      <alignment horizontal="center" vertical="center" wrapText="1"/>
    </xf>
    <xf numFmtId="0" fontId="6" fillId="0" borderId="62" xfId="0" applyFont="1" applyBorder="1" applyAlignment="1">
      <alignment horizontal="center" vertical="center" wrapText="1"/>
    </xf>
    <xf numFmtId="4" fontId="2" fillId="0" borderId="60" xfId="0" applyNumberFormat="1" applyFont="1" applyBorder="1" applyAlignment="1">
      <alignment horizontal="center" vertical="center" wrapText="1"/>
    </xf>
    <xf numFmtId="4" fontId="2" fillId="0" borderId="61" xfId="0" applyNumberFormat="1" applyFont="1" applyBorder="1" applyAlignment="1">
      <alignment horizontal="center" vertical="center" wrapText="1"/>
    </xf>
    <xf numFmtId="0" fontId="13" fillId="6" borderId="34" xfId="0" applyFont="1" applyFill="1" applyBorder="1" applyAlignment="1">
      <alignment horizontal="center" vertical="center" wrapText="1"/>
    </xf>
    <xf numFmtId="0" fontId="13" fillId="6" borderId="0" xfId="0" applyFont="1" applyFill="1" applyAlignment="1">
      <alignment horizontal="center" vertical="center" wrapText="1"/>
    </xf>
    <xf numFmtId="0" fontId="13" fillId="6" borderId="35" xfId="0" applyFont="1" applyFill="1" applyBorder="1" applyAlignment="1">
      <alignment horizontal="center" vertical="center" wrapText="1"/>
    </xf>
    <xf numFmtId="0" fontId="37" fillId="2" borderId="48" xfId="0" applyFont="1" applyFill="1" applyBorder="1" applyAlignment="1">
      <alignment horizontal="center" vertical="center" wrapText="1"/>
    </xf>
    <xf numFmtId="0" fontId="37" fillId="2" borderId="32" xfId="0" applyFont="1" applyFill="1" applyBorder="1" applyAlignment="1">
      <alignment horizontal="center" vertical="center" wrapText="1"/>
    </xf>
    <xf numFmtId="0" fontId="37" fillId="2" borderId="25" xfId="0" applyFont="1" applyFill="1" applyBorder="1" applyAlignment="1">
      <alignment horizontal="center" vertical="center" wrapText="1"/>
    </xf>
    <xf numFmtId="0" fontId="3" fillId="6" borderId="17" xfId="0" applyFont="1" applyFill="1" applyBorder="1" applyAlignment="1">
      <alignment vertical="center" wrapText="1"/>
    </xf>
    <xf numFmtId="4" fontId="2" fillId="6" borderId="59" xfId="0" applyNumberFormat="1" applyFont="1" applyFill="1" applyBorder="1" applyAlignment="1">
      <alignment horizontal="center" vertical="center" wrapText="1"/>
    </xf>
    <xf numFmtId="4" fontId="2" fillId="6" borderId="61" xfId="0" applyNumberFormat="1" applyFont="1" applyFill="1" applyBorder="1" applyAlignment="1">
      <alignment horizontal="center" vertical="center" wrapText="1"/>
    </xf>
    <xf numFmtId="0" fontId="6" fillId="6" borderId="48" xfId="0" applyFont="1" applyFill="1" applyBorder="1" applyAlignment="1">
      <alignment horizontal="center" vertical="center" wrapText="1"/>
    </xf>
    <xf numFmtId="0" fontId="6" fillId="6" borderId="32" xfId="0" applyFont="1" applyFill="1" applyBorder="1" applyAlignment="1">
      <alignment horizontal="center" vertical="center" wrapText="1"/>
    </xf>
    <xf numFmtId="0" fontId="6" fillId="6" borderId="29" xfId="0" applyFont="1" applyFill="1" applyBorder="1" applyAlignment="1">
      <alignment horizontal="center" vertical="center" wrapText="1"/>
    </xf>
    <xf numFmtId="0" fontId="9" fillId="6" borderId="50" xfId="0" applyFont="1" applyFill="1" applyBorder="1" applyAlignment="1">
      <alignment horizontal="center" vertical="center" wrapText="1"/>
    </xf>
    <xf numFmtId="0" fontId="9" fillId="6" borderId="33" xfId="0" applyFont="1" applyFill="1" applyBorder="1" applyAlignment="1">
      <alignment horizontal="center" vertical="center" wrapText="1"/>
    </xf>
    <xf numFmtId="0" fontId="9" fillId="6" borderId="54" xfId="0" applyFont="1" applyFill="1" applyBorder="1" applyAlignment="1">
      <alignment horizontal="center" vertical="center" wrapText="1"/>
    </xf>
    <xf numFmtId="0" fontId="3" fillId="6" borderId="47" xfId="0" applyFont="1" applyFill="1" applyBorder="1" applyAlignment="1">
      <alignment vertical="center" wrapText="1"/>
    </xf>
    <xf numFmtId="0" fontId="9" fillId="2" borderId="29" xfId="0" applyFont="1" applyFill="1" applyBorder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0</xdr:rowOff>
    </xdr:from>
    <xdr:to>
      <xdr:col>0</xdr:col>
      <xdr:colOff>1066799</xdr:colOff>
      <xdr:row>2</xdr:row>
      <xdr:rowOff>74407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A0C62F1E-BDEA-4938-81AB-D8DFAD4197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019174" cy="426832"/>
        </a:xfrm>
        <a:prstGeom prst="rect">
          <a:avLst/>
        </a:prstGeom>
      </xdr:spPr>
    </xdr:pic>
    <xdr:clientData/>
  </xdr:twoCellAnchor>
  <xdr:twoCellAnchor editAs="oneCell">
    <xdr:from>
      <xdr:col>0</xdr:col>
      <xdr:colOff>47625</xdr:colOff>
      <xdr:row>0</xdr:row>
      <xdr:rowOff>0</xdr:rowOff>
    </xdr:from>
    <xdr:to>
      <xdr:col>0</xdr:col>
      <xdr:colOff>1505585</xdr:colOff>
      <xdr:row>5</xdr:row>
      <xdr:rowOff>131445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66E96BA-1A6B-D39D-BE99-20DA1B8A5C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5" y="0"/>
          <a:ext cx="1457960" cy="1076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tehnomer.ru/produkciya/programmnoe_obespechenie/gazset_standart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9"/>
  <sheetViews>
    <sheetView workbookViewId="0">
      <selection sqref="A1:D299"/>
    </sheetView>
  </sheetViews>
  <sheetFormatPr defaultRowHeight="15" x14ac:dyDescent="0.25"/>
  <cols>
    <col min="1" max="1" width="35.5703125" customWidth="1"/>
    <col min="2" max="2" width="54.7109375" customWidth="1"/>
    <col min="3" max="3" width="12.5703125" style="43" customWidth="1"/>
    <col min="4" max="4" width="15" style="43" customWidth="1"/>
    <col min="5" max="5" width="20.28515625" customWidth="1"/>
  </cols>
  <sheetData>
    <row r="1" spans="1:4" ht="17.45" customHeight="1" thickBot="1" x14ac:dyDescent="0.3">
      <c r="A1" s="213" t="s">
        <v>279</v>
      </c>
      <c r="B1" s="214"/>
      <c r="C1" s="215"/>
      <c r="D1" s="45"/>
    </row>
    <row r="2" spans="1:4" ht="31.15" customHeight="1" thickBot="1" x14ac:dyDescent="0.3">
      <c r="A2" s="216" t="s">
        <v>0</v>
      </c>
      <c r="B2" s="217"/>
      <c r="C2" s="42"/>
      <c r="D2" s="45"/>
    </row>
    <row r="3" spans="1:4" ht="16.5" thickBot="1" x14ac:dyDescent="0.3">
      <c r="A3" s="166" t="s">
        <v>1</v>
      </c>
      <c r="B3" s="167"/>
      <c r="C3" s="168"/>
      <c r="D3" s="45"/>
    </row>
    <row r="4" spans="1:4" ht="40.9" customHeight="1" thickBot="1" x14ac:dyDescent="0.3">
      <c r="A4" s="58"/>
      <c r="B4" s="59"/>
      <c r="C4" s="60" t="s">
        <v>278</v>
      </c>
      <c r="D4" s="46" t="s">
        <v>276</v>
      </c>
    </row>
    <row r="5" spans="1:4" x14ac:dyDescent="0.25">
      <c r="A5" s="1" t="s">
        <v>2</v>
      </c>
      <c r="B5" s="6"/>
      <c r="C5" s="171">
        <v>14800</v>
      </c>
      <c r="D5" s="170">
        <f>C5*1.2</f>
        <v>17760</v>
      </c>
    </row>
    <row r="6" spans="1:4" x14ac:dyDescent="0.25">
      <c r="A6" s="2" t="s">
        <v>3</v>
      </c>
      <c r="B6" s="7"/>
      <c r="C6" s="169"/>
      <c r="D6" s="170"/>
    </row>
    <row r="7" spans="1:4" ht="32.25" x14ac:dyDescent="0.25">
      <c r="A7" s="3" t="s">
        <v>4</v>
      </c>
      <c r="B7" s="8" t="s">
        <v>5</v>
      </c>
      <c r="C7" s="169"/>
      <c r="D7" s="170"/>
    </row>
    <row r="8" spans="1:4" x14ac:dyDescent="0.25">
      <c r="A8" s="1"/>
      <c r="B8" s="8" t="s">
        <v>6</v>
      </c>
      <c r="C8" s="169"/>
      <c r="D8" s="170"/>
    </row>
    <row r="9" spans="1:4" x14ac:dyDescent="0.25">
      <c r="A9" s="4"/>
      <c r="B9" s="8" t="s">
        <v>7</v>
      </c>
      <c r="C9" s="169"/>
      <c r="D9" s="170"/>
    </row>
    <row r="10" spans="1:4" x14ac:dyDescent="0.25">
      <c r="A10" s="4"/>
      <c r="B10" s="8" t="s">
        <v>8</v>
      </c>
      <c r="C10" s="169"/>
      <c r="D10" s="170"/>
    </row>
    <row r="11" spans="1:4" ht="21.75" x14ac:dyDescent="0.25">
      <c r="A11" s="4"/>
      <c r="B11" s="8" t="s">
        <v>9</v>
      </c>
      <c r="C11" s="169"/>
      <c r="D11" s="170"/>
    </row>
    <row r="12" spans="1:4" x14ac:dyDescent="0.25">
      <c r="A12" s="4"/>
      <c r="B12" s="8" t="s">
        <v>10</v>
      </c>
      <c r="C12" s="169"/>
      <c r="D12" s="170"/>
    </row>
    <row r="13" spans="1:4" x14ac:dyDescent="0.25">
      <c r="A13" s="4"/>
      <c r="B13" s="8" t="s">
        <v>11</v>
      </c>
      <c r="C13" s="169"/>
      <c r="D13" s="170"/>
    </row>
    <row r="14" spans="1:4" ht="21.75" x14ac:dyDescent="0.25">
      <c r="A14" s="4"/>
      <c r="B14" s="8" t="s">
        <v>12</v>
      </c>
      <c r="C14" s="169"/>
      <c r="D14" s="170"/>
    </row>
    <row r="15" spans="1:4" x14ac:dyDescent="0.25">
      <c r="A15" s="4"/>
      <c r="B15" s="8" t="s">
        <v>13</v>
      </c>
      <c r="C15" s="169"/>
      <c r="D15" s="170"/>
    </row>
    <row r="16" spans="1:4" ht="22.5" thickBot="1" x14ac:dyDescent="0.3">
      <c r="A16" s="5"/>
      <c r="B16" s="8" t="s">
        <v>14</v>
      </c>
      <c r="C16" s="169"/>
      <c r="D16" s="170"/>
    </row>
    <row r="17" spans="1:4" ht="21.75" x14ac:dyDescent="0.25">
      <c r="A17" s="1" t="s">
        <v>16</v>
      </c>
      <c r="B17" s="8" t="s">
        <v>15</v>
      </c>
      <c r="C17" s="169">
        <v>16110</v>
      </c>
      <c r="D17" s="170">
        <f>C17*1.2</f>
        <v>19332</v>
      </c>
    </row>
    <row r="18" spans="1:4" x14ac:dyDescent="0.25">
      <c r="A18" s="2" t="s">
        <v>17</v>
      </c>
      <c r="B18" s="9"/>
      <c r="C18" s="169"/>
      <c r="D18" s="170"/>
    </row>
    <row r="19" spans="1:4" ht="15.75" thickBot="1" x14ac:dyDescent="0.3">
      <c r="A19" s="12" t="s">
        <v>4</v>
      </c>
      <c r="B19" s="10"/>
      <c r="C19" s="169"/>
      <c r="D19" s="170"/>
    </row>
    <row r="20" spans="1:4" x14ac:dyDescent="0.25">
      <c r="A20" s="1" t="s">
        <v>18</v>
      </c>
      <c r="B20" s="10"/>
      <c r="C20" s="169">
        <v>36500</v>
      </c>
      <c r="D20" s="175">
        <f>C20*1.2</f>
        <v>43800</v>
      </c>
    </row>
    <row r="21" spans="1:4" x14ac:dyDescent="0.25">
      <c r="A21" s="2" t="s">
        <v>19</v>
      </c>
      <c r="B21" s="10"/>
      <c r="C21" s="169"/>
      <c r="D21" s="175"/>
    </row>
    <row r="22" spans="1:4" x14ac:dyDescent="0.25">
      <c r="A22" s="3" t="s">
        <v>4</v>
      </c>
      <c r="B22" s="10"/>
      <c r="C22" s="169"/>
      <c r="D22" s="175"/>
    </row>
    <row r="23" spans="1:4" ht="15.75" thickBot="1" x14ac:dyDescent="0.3">
      <c r="A23" s="1"/>
      <c r="B23" s="11"/>
      <c r="C23" s="169"/>
      <c r="D23" s="175"/>
    </row>
    <row r="24" spans="1:4" x14ac:dyDescent="0.25">
      <c r="A24" s="1" t="s">
        <v>20</v>
      </c>
      <c r="B24" s="13"/>
      <c r="C24" s="169"/>
      <c r="D24" s="170"/>
    </row>
    <row r="25" spans="1:4" x14ac:dyDescent="0.25">
      <c r="A25" s="2" t="s">
        <v>3</v>
      </c>
      <c r="B25" s="13" t="s">
        <v>21</v>
      </c>
      <c r="C25" s="169"/>
      <c r="D25" s="170"/>
    </row>
    <row r="26" spans="1:4" x14ac:dyDescent="0.25">
      <c r="A26" s="3" t="s">
        <v>4</v>
      </c>
      <c r="B26" s="10"/>
      <c r="C26" s="169"/>
      <c r="D26" s="170"/>
    </row>
    <row r="27" spans="1:4" x14ac:dyDescent="0.25">
      <c r="A27" s="1"/>
      <c r="B27" s="10"/>
      <c r="C27" s="169"/>
      <c r="D27" s="170"/>
    </row>
    <row r="28" spans="1:4" x14ac:dyDescent="0.25">
      <c r="A28" s="1" t="s">
        <v>22</v>
      </c>
      <c r="B28" s="13"/>
      <c r="C28" s="169"/>
      <c r="D28" s="170"/>
    </row>
    <row r="29" spans="1:4" x14ac:dyDescent="0.25">
      <c r="A29" s="2" t="s">
        <v>17</v>
      </c>
      <c r="B29" s="13" t="s">
        <v>23</v>
      </c>
      <c r="C29" s="169"/>
      <c r="D29" s="170"/>
    </row>
    <row r="30" spans="1:4" x14ac:dyDescent="0.25">
      <c r="A30" s="3" t="s">
        <v>4</v>
      </c>
      <c r="B30" s="10"/>
      <c r="C30" s="169"/>
      <c r="D30" s="170"/>
    </row>
    <row r="31" spans="1:4" x14ac:dyDescent="0.25">
      <c r="A31" s="14"/>
      <c r="B31" s="10"/>
      <c r="C31" s="169"/>
      <c r="D31" s="170"/>
    </row>
    <row r="32" spans="1:4" x14ac:dyDescent="0.25">
      <c r="A32" s="1"/>
      <c r="B32" s="10"/>
      <c r="C32" s="169"/>
      <c r="D32" s="170"/>
    </row>
    <row r="33" spans="1:4" x14ac:dyDescent="0.25">
      <c r="A33" s="1" t="s">
        <v>24</v>
      </c>
      <c r="B33" s="13"/>
      <c r="C33" s="169">
        <v>15075</v>
      </c>
      <c r="D33" s="170">
        <f>C33*1.2</f>
        <v>18090</v>
      </c>
    </row>
    <row r="34" spans="1:4" x14ac:dyDescent="0.25">
      <c r="A34" s="2" t="s">
        <v>3</v>
      </c>
      <c r="B34" s="13"/>
      <c r="C34" s="169"/>
      <c r="D34" s="170"/>
    </row>
    <row r="35" spans="1:4" x14ac:dyDescent="0.25">
      <c r="A35" s="3" t="s">
        <v>4</v>
      </c>
      <c r="B35" s="13" t="s">
        <v>25</v>
      </c>
      <c r="C35" s="169"/>
      <c r="D35" s="170"/>
    </row>
    <row r="36" spans="1:4" x14ac:dyDescent="0.25">
      <c r="A36" s="1"/>
      <c r="B36" s="10"/>
      <c r="C36" s="169"/>
      <c r="D36" s="170"/>
    </row>
    <row r="37" spans="1:4" x14ac:dyDescent="0.25">
      <c r="A37" s="1" t="s">
        <v>26</v>
      </c>
      <c r="B37" s="13"/>
      <c r="C37" s="169">
        <v>16340</v>
      </c>
      <c r="D37" s="170">
        <f>C37*1.2</f>
        <v>19608</v>
      </c>
    </row>
    <row r="38" spans="1:4" x14ac:dyDescent="0.25">
      <c r="A38" s="2" t="s">
        <v>17</v>
      </c>
      <c r="B38" s="13"/>
      <c r="C38" s="169"/>
      <c r="D38" s="170"/>
    </row>
    <row r="39" spans="1:4" x14ac:dyDescent="0.25">
      <c r="A39" s="3" t="s">
        <v>4</v>
      </c>
      <c r="B39" s="13" t="s">
        <v>25</v>
      </c>
      <c r="C39" s="169"/>
      <c r="D39" s="170"/>
    </row>
    <row r="40" spans="1:4" ht="10.9" customHeight="1" x14ac:dyDescent="0.25">
      <c r="A40" s="14"/>
      <c r="B40" s="13"/>
      <c r="C40" s="169"/>
      <c r="D40" s="170"/>
    </row>
    <row r="41" spans="1:4" ht="15.75" hidden="1" thickBot="1" x14ac:dyDescent="0.3">
      <c r="A41" s="1"/>
      <c r="B41" s="10"/>
      <c r="C41" s="176"/>
      <c r="D41" s="170"/>
    </row>
    <row r="42" spans="1:4" ht="15.75" thickBot="1" x14ac:dyDescent="0.3">
      <c r="A42" s="172" t="s">
        <v>27</v>
      </c>
      <c r="B42" s="173"/>
      <c r="C42" s="174"/>
      <c r="D42" s="45"/>
    </row>
    <row r="43" spans="1:4" ht="32.25" x14ac:dyDescent="0.25">
      <c r="A43" s="1" t="s">
        <v>28</v>
      </c>
      <c r="B43" s="8" t="s">
        <v>30</v>
      </c>
      <c r="C43" s="171">
        <v>20286</v>
      </c>
      <c r="D43" s="170">
        <f>C43*1.2</f>
        <v>24343.200000000001</v>
      </c>
    </row>
    <row r="44" spans="1:4" x14ac:dyDescent="0.25">
      <c r="A44" s="2" t="s">
        <v>29</v>
      </c>
      <c r="B44" s="8" t="s">
        <v>6</v>
      </c>
      <c r="C44" s="169"/>
      <c r="D44" s="170"/>
    </row>
    <row r="45" spans="1:4" x14ac:dyDescent="0.25">
      <c r="A45" s="3" t="s">
        <v>4</v>
      </c>
      <c r="B45" s="8" t="s">
        <v>7</v>
      </c>
      <c r="C45" s="169"/>
      <c r="D45" s="170"/>
    </row>
    <row r="46" spans="1:4" x14ac:dyDescent="0.25">
      <c r="A46" s="4"/>
      <c r="B46" s="8" t="s">
        <v>8</v>
      </c>
      <c r="C46" s="169"/>
      <c r="D46" s="170"/>
    </row>
    <row r="47" spans="1:4" ht="21.75" x14ac:dyDescent="0.25">
      <c r="A47" s="4"/>
      <c r="B47" s="8" t="s">
        <v>9</v>
      </c>
      <c r="C47" s="169"/>
      <c r="D47" s="170"/>
    </row>
    <row r="48" spans="1:4" x14ac:dyDescent="0.25">
      <c r="A48" s="4"/>
      <c r="B48" s="8" t="s">
        <v>10</v>
      </c>
      <c r="C48" s="169"/>
      <c r="D48" s="170"/>
    </row>
    <row r="49" spans="1:4" x14ac:dyDescent="0.25">
      <c r="A49" s="4"/>
      <c r="B49" s="8" t="s">
        <v>11</v>
      </c>
      <c r="C49" s="169"/>
      <c r="D49" s="170"/>
    </row>
    <row r="50" spans="1:4" ht="21.75" x14ac:dyDescent="0.25">
      <c r="A50" s="4"/>
      <c r="B50" s="8" t="s">
        <v>12</v>
      </c>
      <c r="C50" s="169"/>
      <c r="D50" s="170"/>
    </row>
    <row r="51" spans="1:4" x14ac:dyDescent="0.25">
      <c r="A51" s="4"/>
      <c r="B51" s="8" t="s">
        <v>13</v>
      </c>
      <c r="C51" s="169"/>
      <c r="D51" s="170"/>
    </row>
    <row r="52" spans="1:4" ht="15.75" thickBot="1" x14ac:dyDescent="0.3">
      <c r="A52" s="5"/>
      <c r="B52" s="8" t="s">
        <v>31</v>
      </c>
      <c r="C52" s="169"/>
      <c r="D52" s="170"/>
    </row>
    <row r="53" spans="1:4" ht="21.75" x14ac:dyDescent="0.25">
      <c r="A53" s="1" t="s">
        <v>32</v>
      </c>
      <c r="B53" s="8" t="s">
        <v>14</v>
      </c>
      <c r="C53" s="169">
        <v>25480</v>
      </c>
      <c r="D53" s="170">
        <f>C53*1.2</f>
        <v>30576</v>
      </c>
    </row>
    <row r="54" spans="1:4" ht="21.75" x14ac:dyDescent="0.25">
      <c r="A54" s="2" t="s">
        <v>33</v>
      </c>
      <c r="B54" s="8" t="s">
        <v>15</v>
      </c>
      <c r="C54" s="169"/>
      <c r="D54" s="170"/>
    </row>
    <row r="55" spans="1:4" ht="15.75" thickBot="1" x14ac:dyDescent="0.3">
      <c r="A55" s="12" t="s">
        <v>4</v>
      </c>
      <c r="B55" s="15"/>
      <c r="C55" s="169"/>
      <c r="D55" s="170"/>
    </row>
    <row r="56" spans="1:4" ht="21" x14ac:dyDescent="0.25">
      <c r="A56" s="1" t="s">
        <v>34</v>
      </c>
      <c r="B56" s="15"/>
      <c r="C56" s="169">
        <v>55285</v>
      </c>
      <c r="D56" s="170">
        <f>C56*1.2</f>
        <v>66342</v>
      </c>
    </row>
    <row r="57" spans="1:4" x14ac:dyDescent="0.25">
      <c r="A57" s="2" t="s">
        <v>35</v>
      </c>
      <c r="B57" s="15"/>
      <c r="C57" s="169"/>
      <c r="D57" s="170"/>
    </row>
    <row r="58" spans="1:4" ht="15.75" thickBot="1" x14ac:dyDescent="0.3">
      <c r="A58" s="12" t="s">
        <v>36</v>
      </c>
      <c r="B58" s="16"/>
      <c r="C58" s="176"/>
      <c r="D58" s="170"/>
    </row>
    <row r="59" spans="1:4" ht="15.75" thickBot="1" x14ac:dyDescent="0.3">
      <c r="A59" s="177" t="s">
        <v>37</v>
      </c>
      <c r="B59" s="178"/>
      <c r="C59" s="179"/>
      <c r="D59" s="45"/>
    </row>
    <row r="60" spans="1:4" ht="21" x14ac:dyDescent="0.25">
      <c r="A60" s="1" t="s">
        <v>38</v>
      </c>
      <c r="B60" s="17"/>
      <c r="C60" s="171">
        <v>35700</v>
      </c>
      <c r="D60" s="170">
        <f>C60*1.2</f>
        <v>42840</v>
      </c>
    </row>
    <row r="61" spans="1:4" x14ac:dyDescent="0.25">
      <c r="A61" s="2" t="s">
        <v>3</v>
      </c>
      <c r="B61" s="17"/>
      <c r="C61" s="169"/>
      <c r="D61" s="170"/>
    </row>
    <row r="62" spans="1:4" x14ac:dyDescent="0.25">
      <c r="A62" s="3" t="s">
        <v>39</v>
      </c>
      <c r="B62" s="17"/>
      <c r="C62" s="169"/>
      <c r="D62" s="170"/>
    </row>
    <row r="63" spans="1:4" x14ac:dyDescent="0.25">
      <c r="A63" s="4"/>
      <c r="B63" s="17"/>
      <c r="C63" s="169"/>
      <c r="D63" s="170"/>
    </row>
    <row r="64" spans="1:4" ht="32.25" x14ac:dyDescent="0.25">
      <c r="A64" s="4"/>
      <c r="B64" s="8" t="s">
        <v>40</v>
      </c>
      <c r="C64" s="169"/>
      <c r="D64" s="170"/>
    </row>
    <row r="65" spans="1:4" x14ac:dyDescent="0.25">
      <c r="A65" s="4"/>
      <c r="B65" s="9"/>
      <c r="C65" s="169"/>
      <c r="D65" s="170"/>
    </row>
    <row r="66" spans="1:4" x14ac:dyDescent="0.25">
      <c r="A66" s="4"/>
      <c r="B66" s="8" t="s">
        <v>6</v>
      </c>
      <c r="C66" s="169"/>
      <c r="D66" s="170"/>
    </row>
    <row r="67" spans="1:4" x14ac:dyDescent="0.25">
      <c r="A67" s="4"/>
      <c r="B67" s="9"/>
      <c r="C67" s="169"/>
      <c r="D67" s="170"/>
    </row>
    <row r="68" spans="1:4" ht="21.75" x14ac:dyDescent="0.25">
      <c r="A68" s="4"/>
      <c r="B68" s="8" t="s">
        <v>41</v>
      </c>
      <c r="C68" s="169"/>
      <c r="D68" s="170"/>
    </row>
    <row r="69" spans="1:4" x14ac:dyDescent="0.25">
      <c r="A69" s="4"/>
      <c r="B69" s="9"/>
      <c r="C69" s="169"/>
      <c r="D69" s="170"/>
    </row>
    <row r="70" spans="1:4" x14ac:dyDescent="0.25">
      <c r="A70" s="4"/>
      <c r="B70" s="8" t="s">
        <v>8</v>
      </c>
      <c r="C70" s="169"/>
      <c r="D70" s="170"/>
    </row>
    <row r="71" spans="1:4" x14ac:dyDescent="0.25">
      <c r="A71" s="4"/>
      <c r="B71" s="9"/>
      <c r="C71" s="169"/>
      <c r="D71" s="170"/>
    </row>
    <row r="72" spans="1:4" ht="21.75" x14ac:dyDescent="0.25">
      <c r="A72" s="4"/>
      <c r="B72" s="8" t="s">
        <v>42</v>
      </c>
      <c r="C72" s="169"/>
      <c r="D72" s="170"/>
    </row>
    <row r="73" spans="1:4" ht="15.75" thickBot="1" x14ac:dyDescent="0.3">
      <c r="A73" s="5"/>
      <c r="B73" s="9"/>
      <c r="C73" s="169"/>
      <c r="D73" s="170"/>
    </row>
    <row r="74" spans="1:4" ht="21.75" x14ac:dyDescent="0.25">
      <c r="A74" s="1" t="s">
        <v>45</v>
      </c>
      <c r="B74" s="8" t="s">
        <v>43</v>
      </c>
      <c r="C74" s="169">
        <v>35700</v>
      </c>
      <c r="D74" s="170">
        <f>C74*1.2</f>
        <v>42840</v>
      </c>
    </row>
    <row r="75" spans="1:4" ht="15.75" thickBot="1" x14ac:dyDescent="0.3">
      <c r="A75" s="19"/>
      <c r="B75" s="9"/>
      <c r="C75" s="169"/>
      <c r="D75" s="170"/>
    </row>
    <row r="76" spans="1:4" ht="21" x14ac:dyDescent="0.25">
      <c r="A76" s="1" t="s">
        <v>46</v>
      </c>
      <c r="B76" s="8" t="s">
        <v>10</v>
      </c>
      <c r="C76" s="169">
        <v>39250</v>
      </c>
      <c r="D76" s="170">
        <f>C76*1.2</f>
        <v>47100</v>
      </c>
    </row>
    <row r="77" spans="1:4" x14ac:dyDescent="0.25">
      <c r="A77" s="2" t="s">
        <v>17</v>
      </c>
      <c r="B77" s="9"/>
      <c r="C77" s="169"/>
      <c r="D77" s="170"/>
    </row>
    <row r="78" spans="1:4" ht="15.75" thickBot="1" x14ac:dyDescent="0.3">
      <c r="A78" s="12" t="s">
        <v>39</v>
      </c>
      <c r="B78" s="8" t="s">
        <v>11</v>
      </c>
      <c r="C78" s="169"/>
      <c r="D78" s="170"/>
    </row>
    <row r="79" spans="1:4" ht="21" x14ac:dyDescent="0.25">
      <c r="A79" s="1" t="s">
        <v>46</v>
      </c>
      <c r="B79" s="9"/>
      <c r="C79" s="169">
        <v>39250</v>
      </c>
      <c r="D79" s="170">
        <f>C79*1.2</f>
        <v>47100</v>
      </c>
    </row>
    <row r="80" spans="1:4" ht="22.5" thickBot="1" x14ac:dyDescent="0.3">
      <c r="A80" s="19"/>
      <c r="B80" s="8" t="s">
        <v>12</v>
      </c>
      <c r="C80" s="169"/>
      <c r="D80" s="170"/>
    </row>
    <row r="81" spans="1:4" ht="21" x14ac:dyDescent="0.25">
      <c r="A81" s="1" t="s">
        <v>47</v>
      </c>
      <c r="B81" s="9"/>
      <c r="C81" s="169">
        <v>50900</v>
      </c>
      <c r="D81" s="170">
        <f>C81*1.2</f>
        <v>61080</v>
      </c>
    </row>
    <row r="82" spans="1:4" x14ac:dyDescent="0.25">
      <c r="A82" s="2" t="s">
        <v>19</v>
      </c>
      <c r="B82" s="8" t="s">
        <v>44</v>
      </c>
      <c r="C82" s="169"/>
      <c r="D82" s="170"/>
    </row>
    <row r="83" spans="1:4" ht="15.75" thickBot="1" x14ac:dyDescent="0.3">
      <c r="A83" s="12" t="s">
        <v>39</v>
      </c>
      <c r="B83" s="9"/>
      <c r="C83" s="169"/>
      <c r="D83" s="170"/>
    </row>
    <row r="84" spans="1:4" ht="21.75" x14ac:dyDescent="0.25">
      <c r="A84" s="1" t="s">
        <v>47</v>
      </c>
      <c r="B84" s="8" t="s">
        <v>14</v>
      </c>
      <c r="C84" s="169">
        <v>50900</v>
      </c>
      <c r="D84" s="170">
        <f>C84*1.2</f>
        <v>61080</v>
      </c>
    </row>
    <row r="85" spans="1:4" ht="15.75" thickBot="1" x14ac:dyDescent="0.3">
      <c r="A85" s="19"/>
      <c r="B85" s="9"/>
      <c r="C85" s="169"/>
      <c r="D85" s="170"/>
    </row>
    <row r="86" spans="1:4" ht="22.5" x14ac:dyDescent="0.25">
      <c r="A86" s="1" t="s">
        <v>48</v>
      </c>
      <c r="B86" s="18" t="s">
        <v>15</v>
      </c>
      <c r="C86" s="169">
        <v>63350</v>
      </c>
      <c r="D86" s="170">
        <f>C86*1.2</f>
        <v>76020</v>
      </c>
    </row>
    <row r="87" spans="1:4" x14ac:dyDescent="0.25">
      <c r="A87" s="2" t="s">
        <v>49</v>
      </c>
      <c r="B87" s="15"/>
      <c r="C87" s="169"/>
      <c r="D87" s="170"/>
    </row>
    <row r="88" spans="1:4" ht="15.75" thickBot="1" x14ac:dyDescent="0.3">
      <c r="A88" s="12" t="s">
        <v>39</v>
      </c>
      <c r="B88" s="15"/>
      <c r="C88" s="169"/>
      <c r="D88" s="170"/>
    </row>
    <row r="89" spans="1:4" ht="21" x14ac:dyDescent="0.25">
      <c r="A89" s="1" t="s">
        <v>48</v>
      </c>
      <c r="B89" s="15"/>
      <c r="C89" s="169">
        <v>63350</v>
      </c>
      <c r="D89" s="170">
        <f>C89*1.2</f>
        <v>76020</v>
      </c>
    </row>
    <row r="90" spans="1:4" ht="15.75" thickBot="1" x14ac:dyDescent="0.3">
      <c r="A90" s="19"/>
      <c r="B90" s="15"/>
      <c r="C90" s="169"/>
      <c r="D90" s="170"/>
    </row>
    <row r="91" spans="1:4" ht="21" x14ac:dyDescent="0.25">
      <c r="A91" s="1" t="s">
        <v>50</v>
      </c>
      <c r="B91" s="15"/>
      <c r="C91" s="169">
        <v>67550</v>
      </c>
      <c r="D91" s="170">
        <f>C91*1.2</f>
        <v>81060</v>
      </c>
    </row>
    <row r="92" spans="1:4" x14ac:dyDescent="0.25">
      <c r="A92" s="2" t="s">
        <v>51</v>
      </c>
      <c r="B92" s="15"/>
      <c r="C92" s="169"/>
      <c r="D92" s="170"/>
    </row>
    <row r="93" spans="1:4" ht="15.75" thickBot="1" x14ac:dyDescent="0.3">
      <c r="A93" s="12" t="s">
        <v>39</v>
      </c>
      <c r="B93" s="15"/>
      <c r="C93" s="169"/>
      <c r="D93" s="170"/>
    </row>
    <row r="94" spans="1:4" ht="21" x14ac:dyDescent="0.25">
      <c r="A94" s="1" t="s">
        <v>50</v>
      </c>
      <c r="B94" s="15"/>
      <c r="C94" s="169">
        <v>67550</v>
      </c>
      <c r="D94" s="170">
        <f>C94*1.2</f>
        <v>81060</v>
      </c>
    </row>
    <row r="95" spans="1:4" ht="15.75" thickBot="1" x14ac:dyDescent="0.3">
      <c r="A95" s="19"/>
      <c r="B95" s="15"/>
      <c r="C95" s="169"/>
      <c r="D95" s="170"/>
    </row>
    <row r="96" spans="1:4" ht="21" x14ac:dyDescent="0.25">
      <c r="A96" s="1" t="s">
        <v>52</v>
      </c>
      <c r="B96" s="15"/>
      <c r="C96" s="169">
        <v>145000</v>
      </c>
      <c r="D96" s="170">
        <f>C96*1.2</f>
        <v>174000</v>
      </c>
    </row>
    <row r="97" spans="1:4" x14ac:dyDescent="0.25">
      <c r="A97" s="2" t="s">
        <v>53</v>
      </c>
      <c r="B97" s="15"/>
      <c r="C97" s="169"/>
      <c r="D97" s="170"/>
    </row>
    <row r="98" spans="1:4" ht="15.75" thickBot="1" x14ac:dyDescent="0.3">
      <c r="A98" s="12" t="s">
        <v>54</v>
      </c>
      <c r="B98" s="15"/>
      <c r="C98" s="169"/>
      <c r="D98" s="170"/>
    </row>
    <row r="99" spans="1:4" ht="21" x14ac:dyDescent="0.25">
      <c r="A99" s="1" t="s">
        <v>55</v>
      </c>
      <c r="B99" s="15"/>
      <c r="C99" s="169">
        <v>165000</v>
      </c>
      <c r="D99" s="170">
        <f>C99*1.2</f>
        <v>198000</v>
      </c>
    </row>
    <row r="100" spans="1:4" x14ac:dyDescent="0.25">
      <c r="A100" s="2" t="s">
        <v>53</v>
      </c>
      <c r="B100" s="15"/>
      <c r="C100" s="169"/>
      <c r="D100" s="170"/>
    </row>
    <row r="101" spans="1:4" x14ac:dyDescent="0.25">
      <c r="A101" s="3" t="s">
        <v>56</v>
      </c>
      <c r="B101" s="15"/>
      <c r="C101" s="169"/>
      <c r="D101" s="170"/>
    </row>
    <row r="102" spans="1:4" ht="30" thickBot="1" x14ac:dyDescent="0.3">
      <c r="A102" s="20" t="s">
        <v>57</v>
      </c>
      <c r="B102" s="15"/>
      <c r="C102" s="169"/>
      <c r="D102" s="170"/>
    </row>
    <row r="103" spans="1:4" ht="21" x14ac:dyDescent="0.25">
      <c r="A103" s="1" t="s">
        <v>58</v>
      </c>
      <c r="B103" s="15"/>
      <c r="C103" s="169">
        <v>185000</v>
      </c>
      <c r="D103" s="175">
        <f>C103*1.2</f>
        <v>222000</v>
      </c>
    </row>
    <row r="104" spans="1:4" x14ac:dyDescent="0.25">
      <c r="A104" s="2" t="s">
        <v>59</v>
      </c>
      <c r="B104" s="15"/>
      <c r="C104" s="169"/>
      <c r="D104" s="175"/>
    </row>
    <row r="105" spans="1:4" ht="15.75" thickBot="1" x14ac:dyDescent="0.3">
      <c r="A105" s="12" t="s">
        <v>56</v>
      </c>
      <c r="B105" s="15"/>
      <c r="C105" s="169"/>
      <c r="D105" s="175"/>
    </row>
    <row r="106" spans="1:4" ht="21" x14ac:dyDescent="0.25">
      <c r="A106" s="1" t="s">
        <v>60</v>
      </c>
      <c r="B106" s="15"/>
      <c r="C106" s="169">
        <v>225000</v>
      </c>
      <c r="D106" s="175">
        <f>C106*1.2</f>
        <v>270000</v>
      </c>
    </row>
    <row r="107" spans="1:4" x14ac:dyDescent="0.25">
      <c r="A107" s="2" t="s">
        <v>61</v>
      </c>
      <c r="B107" s="15">
        <v>220000</v>
      </c>
      <c r="C107" s="169"/>
      <c r="D107" s="175"/>
    </row>
    <row r="108" spans="1:4" ht="15.75" thickBot="1" x14ac:dyDescent="0.3">
      <c r="A108" s="12" t="s">
        <v>56</v>
      </c>
      <c r="B108" s="16"/>
      <c r="C108" s="176"/>
      <c r="D108" s="175"/>
    </row>
    <row r="109" spans="1:4" ht="15.75" thickBot="1" x14ac:dyDescent="0.3">
      <c r="A109" s="218" t="s">
        <v>62</v>
      </c>
      <c r="B109" s="219"/>
      <c r="C109" s="220"/>
      <c r="D109" s="45"/>
    </row>
    <row r="110" spans="1:4" ht="33" x14ac:dyDescent="0.25">
      <c r="A110" s="21" t="s">
        <v>63</v>
      </c>
      <c r="B110" s="18" t="s">
        <v>64</v>
      </c>
      <c r="C110" s="171">
        <v>52100</v>
      </c>
      <c r="D110" s="170">
        <f>C110*1.2</f>
        <v>62520</v>
      </c>
    </row>
    <row r="111" spans="1:4" ht="63.75" x14ac:dyDescent="0.25">
      <c r="A111" s="22" t="s">
        <v>29</v>
      </c>
      <c r="B111" s="8" t="s">
        <v>65</v>
      </c>
      <c r="C111" s="169"/>
      <c r="D111" s="170"/>
    </row>
    <row r="112" spans="1:4" x14ac:dyDescent="0.25">
      <c r="A112" s="23" t="s">
        <v>39</v>
      </c>
      <c r="B112" s="8" t="s">
        <v>66</v>
      </c>
      <c r="C112" s="169"/>
      <c r="D112" s="170"/>
    </row>
    <row r="113" spans="1:4" x14ac:dyDescent="0.25">
      <c r="A113" s="24"/>
      <c r="B113" s="8" t="s">
        <v>67</v>
      </c>
      <c r="C113" s="169"/>
      <c r="D113" s="170"/>
    </row>
    <row r="114" spans="1:4" x14ac:dyDescent="0.25">
      <c r="A114" s="24"/>
      <c r="B114" s="8" t="s">
        <v>6</v>
      </c>
      <c r="C114" s="169"/>
      <c r="D114" s="170"/>
    </row>
    <row r="115" spans="1:4" ht="21.75" x14ac:dyDescent="0.25">
      <c r="A115" s="24"/>
      <c r="B115" s="8" t="s">
        <v>41</v>
      </c>
      <c r="C115" s="169"/>
      <c r="D115" s="170"/>
    </row>
    <row r="116" spans="1:4" x14ac:dyDescent="0.25">
      <c r="A116" s="24"/>
      <c r="B116" s="8" t="s">
        <v>8</v>
      </c>
      <c r="C116" s="169"/>
      <c r="D116" s="170"/>
    </row>
    <row r="117" spans="1:4" ht="21.75" x14ac:dyDescent="0.25">
      <c r="A117" s="24"/>
      <c r="B117" s="8" t="s">
        <v>68</v>
      </c>
      <c r="C117" s="169"/>
      <c r="D117" s="170"/>
    </row>
    <row r="118" spans="1:4" x14ac:dyDescent="0.25">
      <c r="A118" s="24"/>
      <c r="B118" s="8" t="s">
        <v>69</v>
      </c>
      <c r="C118" s="169"/>
      <c r="D118" s="170"/>
    </row>
    <row r="119" spans="1:4" x14ac:dyDescent="0.25">
      <c r="A119" s="24"/>
      <c r="B119" s="8" t="s">
        <v>10</v>
      </c>
      <c r="C119" s="169"/>
      <c r="D119" s="170"/>
    </row>
    <row r="120" spans="1:4" x14ac:dyDescent="0.25">
      <c r="A120" s="24"/>
      <c r="B120" s="8" t="s">
        <v>11</v>
      </c>
      <c r="C120" s="169"/>
      <c r="D120" s="170"/>
    </row>
    <row r="121" spans="1:4" ht="22.5" thickBot="1" x14ac:dyDescent="0.3">
      <c r="A121" s="25"/>
      <c r="B121" s="8" t="s">
        <v>12</v>
      </c>
      <c r="C121" s="169"/>
      <c r="D121" s="170"/>
    </row>
    <row r="122" spans="1:4" ht="21" x14ac:dyDescent="0.25">
      <c r="A122" s="21" t="s">
        <v>71</v>
      </c>
      <c r="B122" s="8" t="s">
        <v>44</v>
      </c>
      <c r="C122" s="169">
        <v>56850</v>
      </c>
      <c r="D122" s="170">
        <f>C122*1.2</f>
        <v>68220</v>
      </c>
    </row>
    <row r="123" spans="1:4" x14ac:dyDescent="0.25">
      <c r="A123" s="22" t="s">
        <v>33</v>
      </c>
      <c r="B123" s="8" t="s">
        <v>31</v>
      </c>
      <c r="C123" s="169"/>
      <c r="D123" s="170"/>
    </row>
    <row r="124" spans="1:4" ht="22.5" thickBot="1" x14ac:dyDescent="0.3">
      <c r="A124" s="26" t="s">
        <v>39</v>
      </c>
      <c r="B124" s="8" t="s">
        <v>70</v>
      </c>
      <c r="C124" s="169"/>
      <c r="D124" s="170"/>
    </row>
    <row r="125" spans="1:4" ht="21.75" x14ac:dyDescent="0.25">
      <c r="A125" s="21" t="s">
        <v>72</v>
      </c>
      <c r="B125" s="8" t="s">
        <v>15</v>
      </c>
      <c r="C125" s="169">
        <v>71950</v>
      </c>
      <c r="D125" s="170">
        <f>C125*1.2</f>
        <v>86340</v>
      </c>
    </row>
    <row r="126" spans="1:4" x14ac:dyDescent="0.25">
      <c r="A126" s="22" t="s">
        <v>35</v>
      </c>
      <c r="B126" s="15"/>
      <c r="C126" s="169"/>
      <c r="D126" s="170"/>
    </row>
    <row r="127" spans="1:4" ht="15.75" thickBot="1" x14ac:dyDescent="0.3">
      <c r="A127" s="26" t="s">
        <v>39</v>
      </c>
      <c r="B127" s="15"/>
      <c r="C127" s="169"/>
      <c r="D127" s="170"/>
    </row>
    <row r="128" spans="1:4" ht="21" x14ac:dyDescent="0.25">
      <c r="A128" s="21" t="s">
        <v>73</v>
      </c>
      <c r="B128" s="15"/>
      <c r="C128" s="169">
        <v>86160</v>
      </c>
      <c r="D128" s="170">
        <f>C128*1.2</f>
        <v>103392</v>
      </c>
    </row>
    <row r="129" spans="1:4" x14ac:dyDescent="0.25">
      <c r="A129" s="22" t="s">
        <v>74</v>
      </c>
      <c r="B129" s="15"/>
      <c r="C129" s="169"/>
      <c r="D129" s="170"/>
    </row>
    <row r="130" spans="1:4" ht="15.75" thickBot="1" x14ac:dyDescent="0.3">
      <c r="A130" s="26" t="s">
        <v>39</v>
      </c>
      <c r="B130" s="15"/>
      <c r="C130" s="169"/>
      <c r="D130" s="170"/>
    </row>
    <row r="131" spans="1:4" ht="21" x14ac:dyDescent="0.25">
      <c r="A131" s="21" t="s">
        <v>75</v>
      </c>
      <c r="B131" s="15"/>
      <c r="C131" s="169">
        <v>104180</v>
      </c>
      <c r="D131" s="170">
        <f>C131*1.2</f>
        <v>125016</v>
      </c>
    </row>
    <row r="132" spans="1:4" x14ac:dyDescent="0.25">
      <c r="A132" s="22" t="s">
        <v>76</v>
      </c>
      <c r="B132" s="15"/>
      <c r="C132" s="169"/>
      <c r="D132" s="170"/>
    </row>
    <row r="133" spans="1:4" ht="15.75" thickBot="1" x14ac:dyDescent="0.3">
      <c r="A133" s="26" t="s">
        <v>39</v>
      </c>
      <c r="B133" s="16"/>
      <c r="C133" s="176"/>
      <c r="D133" s="170"/>
    </row>
    <row r="134" spans="1:4" ht="16.5" thickBot="1" x14ac:dyDescent="0.3">
      <c r="A134" s="166" t="s">
        <v>77</v>
      </c>
      <c r="B134" s="167"/>
      <c r="C134" s="168"/>
      <c r="D134" s="46"/>
    </row>
    <row r="135" spans="1:4" ht="61.9" customHeight="1" x14ac:dyDescent="0.25">
      <c r="A135" s="21" t="s">
        <v>78</v>
      </c>
      <c r="B135" s="180" t="s">
        <v>80</v>
      </c>
      <c r="C135" s="171">
        <v>37450</v>
      </c>
      <c r="D135" s="170">
        <f>C135*1.2</f>
        <v>44940</v>
      </c>
    </row>
    <row r="136" spans="1:4" x14ac:dyDescent="0.25">
      <c r="A136" s="21"/>
      <c r="B136" s="181"/>
      <c r="C136" s="169"/>
      <c r="D136" s="170"/>
    </row>
    <row r="137" spans="1:4" ht="15.75" thickBot="1" x14ac:dyDescent="0.3">
      <c r="A137" s="27" t="s">
        <v>79</v>
      </c>
      <c r="B137" s="182"/>
      <c r="C137" s="176"/>
      <c r="D137" s="170"/>
    </row>
    <row r="138" spans="1:4" ht="16.5" thickBot="1" x14ac:dyDescent="0.3">
      <c r="A138" s="183" t="s">
        <v>81</v>
      </c>
      <c r="B138" s="184"/>
      <c r="C138" s="185"/>
      <c r="D138" s="45"/>
    </row>
    <row r="139" spans="1:4" ht="64.900000000000006" customHeight="1" x14ac:dyDescent="0.25">
      <c r="A139" s="21" t="s">
        <v>82</v>
      </c>
      <c r="B139" s="180" t="s">
        <v>84</v>
      </c>
      <c r="C139" s="171">
        <v>73656</v>
      </c>
      <c r="D139" s="170">
        <f>C139*1.2</f>
        <v>88387.199999999997</v>
      </c>
    </row>
    <row r="140" spans="1:4" ht="15.75" thickBot="1" x14ac:dyDescent="0.3">
      <c r="A140" s="29" t="s">
        <v>83</v>
      </c>
      <c r="B140" s="182"/>
      <c r="C140" s="169"/>
      <c r="D140" s="170"/>
    </row>
    <row r="141" spans="1:4" ht="110.45" customHeight="1" x14ac:dyDescent="0.25">
      <c r="A141" s="21" t="s">
        <v>82</v>
      </c>
      <c r="B141" s="180" t="s">
        <v>86</v>
      </c>
      <c r="C141" s="169">
        <v>90180</v>
      </c>
      <c r="D141" s="170">
        <f>C141*1.2</f>
        <v>108216</v>
      </c>
    </row>
    <row r="142" spans="1:4" ht="15.75" thickBot="1" x14ac:dyDescent="0.3">
      <c r="A142" s="29" t="s">
        <v>85</v>
      </c>
      <c r="B142" s="182"/>
      <c r="C142" s="169"/>
      <c r="D142" s="170"/>
    </row>
    <row r="143" spans="1:4" ht="108" customHeight="1" x14ac:dyDescent="0.25">
      <c r="A143" s="21" t="s">
        <v>87</v>
      </c>
      <c r="B143" s="180" t="s">
        <v>89</v>
      </c>
      <c r="C143" s="169">
        <v>79850</v>
      </c>
      <c r="D143" s="170">
        <f>C143*1.2</f>
        <v>95820</v>
      </c>
    </row>
    <row r="144" spans="1:4" x14ac:dyDescent="0.25">
      <c r="A144" s="21" t="s">
        <v>88</v>
      </c>
      <c r="B144" s="181"/>
      <c r="C144" s="169"/>
      <c r="D144" s="170"/>
    </row>
    <row r="145" spans="1:5" x14ac:dyDescent="0.25">
      <c r="A145" s="21"/>
      <c r="B145" s="181"/>
      <c r="C145" s="169"/>
      <c r="D145" s="170"/>
    </row>
    <row r="146" spans="1:5" ht="42" customHeight="1" x14ac:dyDescent="0.25">
      <c r="A146" s="21" t="s">
        <v>87</v>
      </c>
      <c r="B146" s="181" t="s">
        <v>91</v>
      </c>
      <c r="C146" s="186">
        <v>28600</v>
      </c>
      <c r="D146" s="170">
        <f>C146*1.2</f>
        <v>34320</v>
      </c>
      <c r="E146" t="s">
        <v>280</v>
      </c>
    </row>
    <row r="147" spans="1:5" ht="15.75" thickBot="1" x14ac:dyDescent="0.3">
      <c r="A147" s="29" t="s">
        <v>90</v>
      </c>
      <c r="B147" s="182"/>
      <c r="C147" s="186"/>
      <c r="D147" s="170"/>
    </row>
    <row r="148" spans="1:5" ht="27.6" customHeight="1" x14ac:dyDescent="0.25">
      <c r="A148" s="21" t="s">
        <v>87</v>
      </c>
      <c r="B148" s="180" t="s">
        <v>94</v>
      </c>
      <c r="C148" s="169">
        <v>20700</v>
      </c>
      <c r="D148" s="170">
        <f>C148*1.2</f>
        <v>24840</v>
      </c>
    </row>
    <row r="149" spans="1:5" x14ac:dyDescent="0.25">
      <c r="A149" s="21" t="s">
        <v>92</v>
      </c>
      <c r="B149" s="181"/>
      <c r="C149" s="169"/>
      <c r="D149" s="170"/>
    </row>
    <row r="150" spans="1:5" ht="15.75" thickBot="1" x14ac:dyDescent="0.3">
      <c r="A150" s="29" t="s">
        <v>93</v>
      </c>
      <c r="B150" s="182"/>
      <c r="C150" s="169"/>
      <c r="D150" s="170"/>
    </row>
    <row r="151" spans="1:5" ht="58.9" customHeight="1" x14ac:dyDescent="0.25">
      <c r="A151" s="21" t="s">
        <v>87</v>
      </c>
      <c r="B151" s="180" t="s">
        <v>97</v>
      </c>
      <c r="C151" s="169">
        <v>61776</v>
      </c>
      <c r="D151" s="170">
        <f>C151*1.2</f>
        <v>74131.199999999997</v>
      </c>
    </row>
    <row r="152" spans="1:5" x14ac:dyDescent="0.25">
      <c r="A152" s="21" t="s">
        <v>95</v>
      </c>
      <c r="B152" s="181"/>
      <c r="C152" s="169"/>
      <c r="D152" s="170"/>
    </row>
    <row r="153" spans="1:5" x14ac:dyDescent="0.25">
      <c r="A153" s="21"/>
      <c r="B153" s="181"/>
      <c r="C153" s="169"/>
      <c r="D153" s="170"/>
    </row>
    <row r="154" spans="1:5" ht="15.75" thickBot="1" x14ac:dyDescent="0.3">
      <c r="A154" s="29" t="s">
        <v>96</v>
      </c>
      <c r="B154" s="182"/>
      <c r="C154" s="169"/>
      <c r="D154" s="170"/>
    </row>
    <row r="155" spans="1:5" ht="87.6" customHeight="1" x14ac:dyDescent="0.25">
      <c r="A155" s="21" t="s">
        <v>87</v>
      </c>
      <c r="B155" s="180" t="s">
        <v>99</v>
      </c>
      <c r="C155" s="169">
        <v>61776</v>
      </c>
      <c r="D155" s="170">
        <f>C155*1.2</f>
        <v>74131.199999999997</v>
      </c>
    </row>
    <row r="156" spans="1:5" ht="15.75" thickBot="1" x14ac:dyDescent="0.3">
      <c r="A156" s="29" t="s">
        <v>98</v>
      </c>
      <c r="B156" s="182"/>
      <c r="C156" s="169"/>
      <c r="D156" s="170"/>
    </row>
    <row r="157" spans="1:5" ht="42" customHeight="1" x14ac:dyDescent="0.25">
      <c r="A157" s="21" t="s">
        <v>82</v>
      </c>
      <c r="B157" s="180" t="s">
        <v>101</v>
      </c>
      <c r="C157" s="169">
        <v>20240</v>
      </c>
      <c r="D157" s="170">
        <f>C157*1.2</f>
        <v>24288</v>
      </c>
    </row>
    <row r="158" spans="1:5" ht="15.75" thickBot="1" x14ac:dyDescent="0.3">
      <c r="A158" s="29" t="s">
        <v>100</v>
      </c>
      <c r="B158" s="182"/>
      <c r="C158" s="169"/>
      <c r="D158" s="170"/>
    </row>
    <row r="159" spans="1:5" ht="32.25" thickBot="1" x14ac:dyDescent="0.3">
      <c r="A159" s="30" t="s">
        <v>102</v>
      </c>
      <c r="B159" s="31" t="s">
        <v>103</v>
      </c>
      <c r="C159" s="47">
        <v>18975</v>
      </c>
      <c r="D159" s="46">
        <f>C159*1.2</f>
        <v>22770</v>
      </c>
    </row>
    <row r="160" spans="1:5" ht="16.5" thickBot="1" x14ac:dyDescent="0.3">
      <c r="A160" s="221" t="s">
        <v>104</v>
      </c>
      <c r="B160" s="222"/>
      <c r="C160" s="223"/>
      <c r="D160" s="45"/>
    </row>
    <row r="161" spans="1:4" ht="31.5" x14ac:dyDescent="0.25">
      <c r="A161" s="187" t="s">
        <v>105</v>
      </c>
      <c r="B161" s="28" t="s">
        <v>106</v>
      </c>
      <c r="C161" s="171">
        <v>71550</v>
      </c>
      <c r="D161" s="170">
        <f>C161*1.2</f>
        <v>85860</v>
      </c>
    </row>
    <row r="162" spans="1:4" ht="31.5" x14ac:dyDescent="0.25">
      <c r="A162" s="188"/>
      <c r="B162" s="28" t="s">
        <v>107</v>
      </c>
      <c r="C162" s="169"/>
      <c r="D162" s="170"/>
    </row>
    <row r="163" spans="1:4" ht="53.25" thickBot="1" x14ac:dyDescent="0.3">
      <c r="A163" s="189"/>
      <c r="B163" s="31" t="s">
        <v>108</v>
      </c>
      <c r="C163" s="169"/>
      <c r="D163" s="170"/>
    </row>
    <row r="164" spans="1:4" ht="31.5" x14ac:dyDescent="0.25">
      <c r="A164" s="187" t="s">
        <v>109</v>
      </c>
      <c r="B164" s="32" t="s">
        <v>110</v>
      </c>
      <c r="C164" s="169">
        <v>85000</v>
      </c>
      <c r="D164" s="170">
        <f>C164*1.2</f>
        <v>102000</v>
      </c>
    </row>
    <row r="165" spans="1:4" ht="31.5" x14ac:dyDescent="0.25">
      <c r="A165" s="188"/>
      <c r="B165" s="32" t="s">
        <v>111</v>
      </c>
      <c r="C165" s="169"/>
      <c r="D165" s="170"/>
    </row>
    <row r="166" spans="1:4" ht="52.5" x14ac:dyDescent="0.25">
      <c r="A166" s="188"/>
      <c r="B166" s="32" t="s">
        <v>112</v>
      </c>
      <c r="C166" s="169"/>
      <c r="D166" s="170"/>
    </row>
    <row r="167" spans="1:4" ht="52.5" x14ac:dyDescent="0.25">
      <c r="A167" s="188" t="s">
        <v>113</v>
      </c>
      <c r="B167" s="28" t="s">
        <v>114</v>
      </c>
      <c r="C167" s="169">
        <v>25648</v>
      </c>
      <c r="D167" s="170">
        <f>C167*1.2</f>
        <v>30777.599999999999</v>
      </c>
    </row>
    <row r="168" spans="1:4" ht="21.75" thickBot="1" x14ac:dyDescent="0.3">
      <c r="A168" s="189"/>
      <c r="B168" s="33" t="s">
        <v>115</v>
      </c>
      <c r="C168" s="169"/>
      <c r="D168" s="170"/>
    </row>
    <row r="169" spans="1:4" ht="31.5" x14ac:dyDescent="0.25">
      <c r="A169" s="187" t="s">
        <v>116</v>
      </c>
      <c r="B169" s="28" t="s">
        <v>117</v>
      </c>
      <c r="C169" s="169">
        <v>29120</v>
      </c>
      <c r="D169" s="170">
        <f>C169*1.2</f>
        <v>34944</v>
      </c>
    </row>
    <row r="170" spans="1:4" ht="21" x14ac:dyDescent="0.25">
      <c r="A170" s="188"/>
      <c r="B170" s="28" t="s">
        <v>118</v>
      </c>
      <c r="C170" s="169"/>
      <c r="D170" s="170"/>
    </row>
    <row r="171" spans="1:4" ht="32.25" thickBot="1" x14ac:dyDescent="0.3">
      <c r="A171" s="189"/>
      <c r="B171" s="31" t="s">
        <v>119</v>
      </c>
      <c r="C171" s="169"/>
      <c r="D171" s="170"/>
    </row>
    <row r="172" spans="1:4" ht="94.5" x14ac:dyDescent="0.25">
      <c r="A172" s="21" t="s">
        <v>120</v>
      </c>
      <c r="B172" s="28" t="s">
        <v>121</v>
      </c>
      <c r="C172" s="44">
        <v>65320</v>
      </c>
      <c r="D172" s="46">
        <f>C172*1.2</f>
        <v>78384</v>
      </c>
    </row>
    <row r="173" spans="1:4" ht="84.75" thickBot="1" x14ac:dyDescent="0.3">
      <c r="A173" s="62" t="s">
        <v>122</v>
      </c>
      <c r="B173" s="63" t="s">
        <v>123</v>
      </c>
      <c r="C173" s="64">
        <v>43650</v>
      </c>
      <c r="D173" s="65">
        <f>C173*1.2</f>
        <v>52380</v>
      </c>
    </row>
    <row r="174" spans="1:4" ht="16.5" thickBot="1" x14ac:dyDescent="0.3">
      <c r="A174" s="205" t="s">
        <v>124</v>
      </c>
      <c r="B174" s="206"/>
      <c r="C174" s="207"/>
      <c r="D174" s="45"/>
    </row>
    <row r="175" spans="1:4" ht="53.45" customHeight="1" x14ac:dyDescent="0.25">
      <c r="A175" s="34" t="s">
        <v>125</v>
      </c>
      <c r="B175" s="180" t="s">
        <v>127</v>
      </c>
      <c r="C175" s="171">
        <v>4850</v>
      </c>
      <c r="D175" s="170">
        <f>C175*1.2</f>
        <v>5820</v>
      </c>
    </row>
    <row r="176" spans="1:4" ht="15.75" thickBot="1" x14ac:dyDescent="0.3">
      <c r="A176" s="30" t="s">
        <v>126</v>
      </c>
      <c r="B176" s="182"/>
      <c r="C176" s="176"/>
      <c r="D176" s="170"/>
    </row>
    <row r="177" spans="1:4" ht="16.5" thickBot="1" x14ac:dyDescent="0.3">
      <c r="A177" s="221" t="s">
        <v>128</v>
      </c>
      <c r="B177" s="222"/>
      <c r="C177" s="223"/>
      <c r="D177" s="45"/>
    </row>
    <row r="178" spans="1:4" ht="15.75" thickBot="1" x14ac:dyDescent="0.3">
      <c r="A178" s="224" t="s">
        <v>129</v>
      </c>
      <c r="B178" s="225"/>
      <c r="C178" s="226"/>
      <c r="D178" s="45"/>
    </row>
    <row r="179" spans="1:4" ht="63" x14ac:dyDescent="0.25">
      <c r="A179" s="190" t="s">
        <v>130</v>
      </c>
      <c r="B179" s="28" t="s">
        <v>131</v>
      </c>
      <c r="C179" s="171">
        <v>12500</v>
      </c>
      <c r="D179" s="170">
        <f>C179*1.2</f>
        <v>15000</v>
      </c>
    </row>
    <row r="180" spans="1:4" ht="74.25" thickBot="1" x14ac:dyDescent="0.3">
      <c r="A180" s="192"/>
      <c r="B180" s="31" t="s">
        <v>132</v>
      </c>
      <c r="C180" s="169"/>
      <c r="D180" s="170"/>
    </row>
    <row r="181" spans="1:4" ht="63.75" thickBot="1" x14ac:dyDescent="0.3">
      <c r="A181" s="19" t="s">
        <v>133</v>
      </c>
      <c r="B181" s="31" t="s">
        <v>134</v>
      </c>
      <c r="C181" s="47" t="s">
        <v>277</v>
      </c>
      <c r="D181" s="45" t="s">
        <v>277</v>
      </c>
    </row>
    <row r="182" spans="1:4" x14ac:dyDescent="0.25">
      <c r="A182" s="194" t="s">
        <v>135</v>
      </c>
      <c r="B182" s="195"/>
      <c r="C182" s="196"/>
      <c r="D182" s="200"/>
    </row>
    <row r="183" spans="1:4" ht="15.75" thickBot="1" x14ac:dyDescent="0.3">
      <c r="A183" s="197" t="s">
        <v>136</v>
      </c>
      <c r="B183" s="198"/>
      <c r="C183" s="199"/>
      <c r="D183" s="200"/>
    </row>
    <row r="184" spans="1:4" x14ac:dyDescent="0.25">
      <c r="A184" s="190" t="s">
        <v>137</v>
      </c>
      <c r="B184" s="28" t="s">
        <v>138</v>
      </c>
      <c r="C184" s="193" t="s">
        <v>277</v>
      </c>
      <c r="D184" s="175" t="s">
        <v>277</v>
      </c>
    </row>
    <row r="185" spans="1:4" ht="21" x14ac:dyDescent="0.25">
      <c r="A185" s="191"/>
      <c r="B185" s="28" t="s">
        <v>139</v>
      </c>
      <c r="C185" s="186"/>
      <c r="D185" s="175"/>
    </row>
    <row r="186" spans="1:4" ht="32.25" x14ac:dyDescent="0.25">
      <c r="A186" s="191"/>
      <c r="B186" s="35" t="s">
        <v>140</v>
      </c>
      <c r="C186" s="186"/>
      <c r="D186" s="175"/>
    </row>
    <row r="187" spans="1:4" ht="63.75" x14ac:dyDescent="0.25">
      <c r="A187" s="191"/>
      <c r="B187" s="36" t="s">
        <v>141</v>
      </c>
      <c r="C187" s="186"/>
      <c r="D187" s="175"/>
    </row>
    <row r="188" spans="1:4" ht="21.75" x14ac:dyDescent="0.25">
      <c r="A188" s="191"/>
      <c r="B188" s="36" t="s">
        <v>142</v>
      </c>
      <c r="C188" s="186"/>
      <c r="D188" s="175"/>
    </row>
    <row r="189" spans="1:4" x14ac:dyDescent="0.25">
      <c r="A189" s="191"/>
      <c r="B189" s="36" t="s">
        <v>143</v>
      </c>
      <c r="C189" s="186"/>
      <c r="D189" s="175"/>
    </row>
    <row r="190" spans="1:4" ht="21.75" x14ac:dyDescent="0.25">
      <c r="A190" s="191"/>
      <c r="B190" s="35" t="s">
        <v>144</v>
      </c>
      <c r="C190" s="186"/>
      <c r="D190" s="175"/>
    </row>
    <row r="191" spans="1:4" ht="32.25" x14ac:dyDescent="0.25">
      <c r="A191" s="191"/>
      <c r="B191" s="35" t="s">
        <v>145</v>
      </c>
      <c r="C191" s="186"/>
      <c r="D191" s="175"/>
    </row>
    <row r="192" spans="1:4" ht="90" x14ac:dyDescent="0.25">
      <c r="A192" s="191"/>
      <c r="B192" s="37" t="s">
        <v>146</v>
      </c>
      <c r="C192" s="186"/>
      <c r="D192" s="175"/>
    </row>
    <row r="193" spans="1:4" ht="21.75" thickBot="1" x14ac:dyDescent="0.3">
      <c r="A193" s="192"/>
      <c r="B193" s="31" t="s">
        <v>147</v>
      </c>
      <c r="C193" s="186"/>
      <c r="D193" s="175"/>
    </row>
    <row r="194" spans="1:4" ht="32.25" x14ac:dyDescent="0.25">
      <c r="A194" s="190" t="s">
        <v>148</v>
      </c>
      <c r="B194" s="32" t="s">
        <v>149</v>
      </c>
      <c r="C194" s="169">
        <v>300000</v>
      </c>
      <c r="D194" s="170">
        <f>C194*1.2</f>
        <v>360000</v>
      </c>
    </row>
    <row r="195" spans="1:4" ht="32.25" x14ac:dyDescent="0.25">
      <c r="A195" s="191"/>
      <c r="B195" s="32" t="s">
        <v>150</v>
      </c>
      <c r="C195" s="169"/>
      <c r="D195" s="170"/>
    </row>
    <row r="196" spans="1:4" ht="32.25" x14ac:dyDescent="0.25">
      <c r="A196" s="191"/>
      <c r="B196" s="32" t="s">
        <v>151</v>
      </c>
      <c r="C196" s="169"/>
      <c r="D196" s="170"/>
    </row>
    <row r="197" spans="1:4" ht="32.25" x14ac:dyDescent="0.25">
      <c r="A197" s="191"/>
      <c r="B197" s="32" t="s">
        <v>152</v>
      </c>
      <c r="C197" s="169"/>
      <c r="D197" s="170"/>
    </row>
    <row r="198" spans="1:4" ht="32.25" x14ac:dyDescent="0.25">
      <c r="A198" s="191"/>
      <c r="B198" s="32" t="s">
        <v>153</v>
      </c>
      <c r="C198" s="169"/>
      <c r="D198" s="170"/>
    </row>
    <row r="199" spans="1:4" ht="33" thickBot="1" x14ac:dyDescent="0.3">
      <c r="A199" s="192"/>
      <c r="B199" s="38" t="s">
        <v>154</v>
      </c>
      <c r="C199" s="176"/>
      <c r="D199" s="170"/>
    </row>
    <row r="200" spans="1:4" ht="16.5" thickBot="1" x14ac:dyDescent="0.3">
      <c r="A200" s="221" t="s">
        <v>155</v>
      </c>
      <c r="B200" s="222"/>
      <c r="C200" s="223"/>
      <c r="D200" s="45"/>
    </row>
    <row r="201" spans="1:4" ht="15.75" thickBot="1" x14ac:dyDescent="0.3">
      <c r="A201" s="48" t="s">
        <v>156</v>
      </c>
      <c r="B201" s="49"/>
      <c r="C201" s="44">
        <v>1730</v>
      </c>
      <c r="D201" s="46">
        <f>C201*1.2</f>
        <v>2076</v>
      </c>
    </row>
    <row r="202" spans="1:4" ht="32.25" thickBot="1" x14ac:dyDescent="0.3">
      <c r="A202" s="48" t="s">
        <v>158</v>
      </c>
      <c r="B202" s="50" t="s">
        <v>157</v>
      </c>
      <c r="C202" s="44">
        <v>2780</v>
      </c>
      <c r="D202" s="46">
        <f t="shared" ref="D202:D236" si="0">C202*1.2</f>
        <v>3336</v>
      </c>
    </row>
    <row r="203" spans="1:4" ht="15.75" thickBot="1" x14ac:dyDescent="0.3">
      <c r="A203" s="48" t="s">
        <v>159</v>
      </c>
      <c r="B203" s="51"/>
      <c r="C203" s="44">
        <v>4880</v>
      </c>
      <c r="D203" s="46">
        <f t="shared" si="0"/>
        <v>5856</v>
      </c>
    </row>
    <row r="204" spans="1:4" ht="15.75" thickBot="1" x14ac:dyDescent="0.3">
      <c r="A204" s="48" t="s">
        <v>160</v>
      </c>
      <c r="B204" s="51"/>
      <c r="C204" s="44">
        <v>6980</v>
      </c>
      <c r="D204" s="46">
        <f t="shared" si="0"/>
        <v>8376</v>
      </c>
    </row>
    <row r="205" spans="1:4" ht="15.75" thickBot="1" x14ac:dyDescent="0.3">
      <c r="A205" s="48" t="s">
        <v>161</v>
      </c>
      <c r="B205" s="51"/>
      <c r="C205" s="44">
        <v>8240</v>
      </c>
      <c r="D205" s="46">
        <f t="shared" si="0"/>
        <v>9888</v>
      </c>
    </row>
    <row r="206" spans="1:4" ht="15.75" thickBot="1" x14ac:dyDescent="0.3">
      <c r="A206" s="48" t="s">
        <v>162</v>
      </c>
      <c r="B206" s="51"/>
      <c r="C206" s="44">
        <v>10900</v>
      </c>
      <c r="D206" s="46">
        <f t="shared" si="0"/>
        <v>13080</v>
      </c>
    </row>
    <row r="207" spans="1:4" ht="15.75" thickBot="1" x14ac:dyDescent="0.3">
      <c r="A207" s="48" t="s">
        <v>163</v>
      </c>
      <c r="B207" s="52"/>
      <c r="C207" s="44">
        <v>21000</v>
      </c>
      <c r="D207" s="46">
        <f t="shared" si="0"/>
        <v>25200</v>
      </c>
    </row>
    <row r="208" spans="1:4" ht="15.75" thickBot="1" x14ac:dyDescent="0.3">
      <c r="A208" s="48" t="s">
        <v>164</v>
      </c>
      <c r="B208" s="201" t="s">
        <v>165</v>
      </c>
      <c r="C208" s="61">
        <v>2940</v>
      </c>
      <c r="D208" s="46">
        <f t="shared" si="0"/>
        <v>3528</v>
      </c>
    </row>
    <row r="209" spans="1:4" ht="15.75" thickBot="1" x14ac:dyDescent="0.3">
      <c r="A209" s="48" t="s">
        <v>166</v>
      </c>
      <c r="B209" s="208"/>
      <c r="C209" s="61">
        <v>3885</v>
      </c>
      <c r="D209" s="46">
        <f t="shared" si="0"/>
        <v>4662</v>
      </c>
    </row>
    <row r="210" spans="1:4" ht="15.75" thickBot="1" x14ac:dyDescent="0.3">
      <c r="A210" s="48" t="s">
        <v>167</v>
      </c>
      <c r="B210" s="208"/>
      <c r="C210" s="61">
        <v>4830</v>
      </c>
      <c r="D210" s="46">
        <f t="shared" si="0"/>
        <v>5796</v>
      </c>
    </row>
    <row r="211" spans="1:4" ht="15.75" thickBot="1" x14ac:dyDescent="0.3">
      <c r="A211" s="48" t="s">
        <v>168</v>
      </c>
      <c r="B211" s="208"/>
      <c r="C211" s="61">
        <v>5880</v>
      </c>
      <c r="D211" s="46">
        <f t="shared" si="0"/>
        <v>7056</v>
      </c>
    </row>
    <row r="212" spans="1:4" ht="15.75" thickBot="1" x14ac:dyDescent="0.3">
      <c r="A212" s="48" t="s">
        <v>169</v>
      </c>
      <c r="B212" s="208"/>
      <c r="C212" s="61">
        <v>6825</v>
      </c>
      <c r="D212" s="46">
        <f t="shared" si="0"/>
        <v>8190</v>
      </c>
    </row>
    <row r="213" spans="1:4" ht="15.75" thickBot="1" x14ac:dyDescent="0.3">
      <c r="A213" s="48" t="s">
        <v>170</v>
      </c>
      <c r="B213" s="208"/>
      <c r="C213" s="61">
        <v>7875</v>
      </c>
      <c r="D213" s="46">
        <f t="shared" si="0"/>
        <v>9450</v>
      </c>
    </row>
    <row r="214" spans="1:4" ht="15.75" thickBot="1" x14ac:dyDescent="0.3">
      <c r="A214" s="48" t="s">
        <v>171</v>
      </c>
      <c r="B214" s="208"/>
      <c r="C214" s="61">
        <v>8870</v>
      </c>
      <c r="D214" s="46">
        <f t="shared" si="0"/>
        <v>10644</v>
      </c>
    </row>
    <row r="215" spans="1:4" ht="15.75" thickBot="1" x14ac:dyDescent="0.3">
      <c r="A215" s="48" t="s">
        <v>172</v>
      </c>
      <c r="B215" s="208"/>
      <c r="C215" s="61">
        <v>10500</v>
      </c>
      <c r="D215" s="46">
        <f t="shared" si="0"/>
        <v>12600</v>
      </c>
    </row>
    <row r="216" spans="1:4" ht="15.75" thickBot="1" x14ac:dyDescent="0.3">
      <c r="A216" s="48" t="s">
        <v>173</v>
      </c>
      <c r="B216" s="208"/>
      <c r="C216" s="61">
        <v>11500</v>
      </c>
      <c r="D216" s="46">
        <f t="shared" si="0"/>
        <v>13800</v>
      </c>
    </row>
    <row r="217" spans="1:4" ht="15.75" thickBot="1" x14ac:dyDescent="0.3">
      <c r="A217" s="48" t="s">
        <v>174</v>
      </c>
      <c r="B217" s="202"/>
      <c r="C217" s="61">
        <v>12500</v>
      </c>
      <c r="D217" s="46">
        <f t="shared" si="0"/>
        <v>15000</v>
      </c>
    </row>
    <row r="218" spans="1:4" ht="15.75" thickBot="1" x14ac:dyDescent="0.3">
      <c r="A218" s="48" t="s">
        <v>175</v>
      </c>
      <c r="B218" s="201" t="s">
        <v>176</v>
      </c>
      <c r="C218" s="44">
        <v>2200</v>
      </c>
      <c r="D218" s="46">
        <f t="shared" si="0"/>
        <v>2640</v>
      </c>
    </row>
    <row r="219" spans="1:4" ht="15.75" thickBot="1" x14ac:dyDescent="0.3">
      <c r="A219" s="48" t="s">
        <v>177</v>
      </c>
      <c r="B219" s="208"/>
      <c r="C219" s="44">
        <v>3450</v>
      </c>
      <c r="D219" s="46">
        <f t="shared" si="0"/>
        <v>4140</v>
      </c>
    </row>
    <row r="220" spans="1:4" ht="15.75" thickBot="1" x14ac:dyDescent="0.3">
      <c r="A220" s="48" t="s">
        <v>178</v>
      </c>
      <c r="B220" s="208"/>
      <c r="C220" s="44">
        <v>6000</v>
      </c>
      <c r="D220" s="46">
        <f t="shared" si="0"/>
        <v>7200</v>
      </c>
    </row>
    <row r="221" spans="1:4" ht="15.75" thickBot="1" x14ac:dyDescent="0.3">
      <c r="A221" s="48" t="s">
        <v>179</v>
      </c>
      <c r="B221" s="208"/>
      <c r="C221" s="44">
        <v>8600</v>
      </c>
      <c r="D221" s="46">
        <f t="shared" si="0"/>
        <v>10320</v>
      </c>
    </row>
    <row r="222" spans="1:4" ht="15.75" thickBot="1" x14ac:dyDescent="0.3">
      <c r="A222" s="48" t="s">
        <v>180</v>
      </c>
      <c r="B222" s="208"/>
      <c r="C222" s="44">
        <v>11200</v>
      </c>
      <c r="D222" s="46">
        <f t="shared" si="0"/>
        <v>13440</v>
      </c>
    </row>
    <row r="223" spans="1:4" ht="15.75" thickBot="1" x14ac:dyDescent="0.3">
      <c r="A223" s="48" t="s">
        <v>181</v>
      </c>
      <c r="B223" s="208"/>
      <c r="C223" s="44">
        <v>14300</v>
      </c>
      <c r="D223" s="46">
        <f t="shared" si="0"/>
        <v>17160</v>
      </c>
    </row>
    <row r="224" spans="1:4" ht="15.75" thickBot="1" x14ac:dyDescent="0.3">
      <c r="A224" s="48" t="s">
        <v>182</v>
      </c>
      <c r="B224" s="202"/>
      <c r="C224" s="44">
        <v>28000</v>
      </c>
      <c r="D224" s="46">
        <f t="shared" si="0"/>
        <v>33600</v>
      </c>
    </row>
    <row r="225" spans="1:4" ht="15.75" thickBot="1" x14ac:dyDescent="0.3">
      <c r="A225" s="48" t="s">
        <v>183</v>
      </c>
      <c r="B225" s="201" t="s">
        <v>184</v>
      </c>
      <c r="C225" s="44">
        <v>1730</v>
      </c>
      <c r="D225" s="46">
        <f t="shared" si="0"/>
        <v>2076</v>
      </c>
    </row>
    <row r="226" spans="1:4" ht="15.75" thickBot="1" x14ac:dyDescent="0.3">
      <c r="A226" s="48" t="s">
        <v>185</v>
      </c>
      <c r="B226" s="208"/>
      <c r="C226" s="44">
        <v>2780</v>
      </c>
      <c r="D226" s="46">
        <f t="shared" si="0"/>
        <v>3336</v>
      </c>
    </row>
    <row r="227" spans="1:4" ht="15.75" thickBot="1" x14ac:dyDescent="0.3">
      <c r="A227" s="48" t="s">
        <v>186</v>
      </c>
      <c r="B227" s="208"/>
      <c r="C227" s="44">
        <v>4880</v>
      </c>
      <c r="D227" s="46">
        <f t="shared" si="0"/>
        <v>5856</v>
      </c>
    </row>
    <row r="228" spans="1:4" ht="15.75" thickBot="1" x14ac:dyDescent="0.3">
      <c r="A228" s="48" t="s">
        <v>187</v>
      </c>
      <c r="B228" s="208"/>
      <c r="C228" s="44">
        <v>6980</v>
      </c>
      <c r="D228" s="46">
        <f t="shared" si="0"/>
        <v>8376</v>
      </c>
    </row>
    <row r="229" spans="1:4" ht="15.75" thickBot="1" x14ac:dyDescent="0.3">
      <c r="A229" s="48" t="s">
        <v>188</v>
      </c>
      <c r="B229" s="208"/>
      <c r="C229" s="44">
        <v>8240</v>
      </c>
      <c r="D229" s="46">
        <f t="shared" si="0"/>
        <v>9888</v>
      </c>
    </row>
    <row r="230" spans="1:4" ht="15.75" thickBot="1" x14ac:dyDescent="0.3">
      <c r="A230" s="48" t="s">
        <v>189</v>
      </c>
      <c r="B230" s="202"/>
      <c r="C230" s="47">
        <v>10900</v>
      </c>
      <c r="D230" s="46">
        <f t="shared" si="0"/>
        <v>13080</v>
      </c>
    </row>
    <row r="231" spans="1:4" ht="15.75" thickBot="1" x14ac:dyDescent="0.3">
      <c r="A231" s="48" t="s">
        <v>190</v>
      </c>
      <c r="B231" s="201" t="s">
        <v>191</v>
      </c>
      <c r="C231" s="44">
        <v>1730</v>
      </c>
      <c r="D231" s="46">
        <f t="shared" si="0"/>
        <v>2076</v>
      </c>
    </row>
    <row r="232" spans="1:4" ht="15.75" thickBot="1" x14ac:dyDescent="0.3">
      <c r="A232" s="48" t="s">
        <v>192</v>
      </c>
      <c r="B232" s="208"/>
      <c r="C232" s="44">
        <v>2780</v>
      </c>
      <c r="D232" s="46">
        <f t="shared" si="0"/>
        <v>3336</v>
      </c>
    </row>
    <row r="233" spans="1:4" ht="15.75" thickBot="1" x14ac:dyDescent="0.3">
      <c r="A233" s="48" t="s">
        <v>193</v>
      </c>
      <c r="B233" s="208"/>
      <c r="C233" s="44">
        <v>4880</v>
      </c>
      <c r="D233" s="46">
        <f t="shared" si="0"/>
        <v>5856</v>
      </c>
    </row>
    <row r="234" spans="1:4" ht="15.75" thickBot="1" x14ac:dyDescent="0.3">
      <c r="A234" s="48" t="s">
        <v>194</v>
      </c>
      <c r="B234" s="208"/>
      <c r="C234" s="44">
        <v>6980</v>
      </c>
      <c r="D234" s="46">
        <f t="shared" si="0"/>
        <v>8376</v>
      </c>
    </row>
    <row r="235" spans="1:4" ht="15.75" thickBot="1" x14ac:dyDescent="0.3">
      <c r="A235" s="48" t="s">
        <v>195</v>
      </c>
      <c r="B235" s="208"/>
      <c r="C235" s="44">
        <v>8240</v>
      </c>
      <c r="D235" s="46">
        <f t="shared" si="0"/>
        <v>9888</v>
      </c>
    </row>
    <row r="236" spans="1:4" ht="15.75" thickBot="1" x14ac:dyDescent="0.3">
      <c r="A236" s="48" t="s">
        <v>196</v>
      </c>
      <c r="B236" s="202"/>
      <c r="C236" s="47">
        <v>10900</v>
      </c>
      <c r="D236" s="46">
        <f t="shared" si="0"/>
        <v>13080</v>
      </c>
    </row>
    <row r="237" spans="1:4" ht="16.5" thickBot="1" x14ac:dyDescent="0.3">
      <c r="A237" s="209" t="s">
        <v>197</v>
      </c>
      <c r="B237" s="210"/>
      <c r="C237" s="211"/>
      <c r="D237" s="45"/>
    </row>
    <row r="238" spans="1:4" ht="30.6" customHeight="1" thickBot="1" x14ac:dyDescent="0.3">
      <c r="A238" s="53" t="s">
        <v>198</v>
      </c>
      <c r="B238" s="201" t="s">
        <v>199</v>
      </c>
      <c r="C238" s="44">
        <v>1050</v>
      </c>
      <c r="D238" s="46">
        <f>C238*1.2</f>
        <v>1260</v>
      </c>
    </row>
    <row r="239" spans="1:4" ht="15.75" thickBot="1" x14ac:dyDescent="0.3">
      <c r="A239" s="53" t="s">
        <v>200</v>
      </c>
      <c r="B239" s="202"/>
      <c r="C239" s="44">
        <v>1150</v>
      </c>
      <c r="D239" s="46">
        <f t="shared" ref="D239:D248" si="1">C239*1.2</f>
        <v>1380</v>
      </c>
    </row>
    <row r="240" spans="1:4" ht="30.6" customHeight="1" thickBot="1" x14ac:dyDescent="0.3">
      <c r="A240" s="53" t="s">
        <v>201</v>
      </c>
      <c r="B240" s="201" t="s">
        <v>202</v>
      </c>
      <c r="C240" s="44">
        <v>1500</v>
      </c>
      <c r="D240" s="46">
        <f t="shared" si="1"/>
        <v>1800</v>
      </c>
    </row>
    <row r="241" spans="1:4" ht="15.75" thickBot="1" x14ac:dyDescent="0.3">
      <c r="A241" s="53" t="s">
        <v>203</v>
      </c>
      <c r="B241" s="202"/>
      <c r="C241" s="44">
        <v>2050</v>
      </c>
      <c r="D241" s="46">
        <f t="shared" si="1"/>
        <v>2460</v>
      </c>
    </row>
    <row r="242" spans="1:4" ht="21.75" thickBot="1" x14ac:dyDescent="0.3">
      <c r="A242" s="53" t="s">
        <v>204</v>
      </c>
      <c r="B242" s="54" t="s">
        <v>205</v>
      </c>
      <c r="C242" s="44">
        <v>1400</v>
      </c>
      <c r="D242" s="46">
        <f t="shared" si="1"/>
        <v>1680</v>
      </c>
    </row>
    <row r="243" spans="1:4" ht="21.75" thickBot="1" x14ac:dyDescent="0.3">
      <c r="A243" s="53" t="s">
        <v>206</v>
      </c>
      <c r="B243" s="54" t="s">
        <v>207</v>
      </c>
      <c r="C243" s="44">
        <v>1200</v>
      </c>
      <c r="D243" s="46">
        <f t="shared" si="1"/>
        <v>1440</v>
      </c>
    </row>
    <row r="244" spans="1:4" ht="21.75" thickBot="1" x14ac:dyDescent="0.3">
      <c r="A244" s="53" t="s">
        <v>208</v>
      </c>
      <c r="B244" s="55" t="s">
        <v>209</v>
      </c>
      <c r="C244" s="44">
        <v>3700</v>
      </c>
      <c r="D244" s="66">
        <f t="shared" si="1"/>
        <v>4440</v>
      </c>
    </row>
    <row r="245" spans="1:4" ht="21.75" thickBot="1" x14ac:dyDescent="0.3">
      <c r="A245" s="53" t="s">
        <v>210</v>
      </c>
      <c r="B245" s="55" t="s">
        <v>211</v>
      </c>
      <c r="C245" s="44">
        <v>2000</v>
      </c>
      <c r="D245" s="46">
        <f t="shared" si="1"/>
        <v>2400</v>
      </c>
    </row>
    <row r="246" spans="1:4" ht="21.75" thickBot="1" x14ac:dyDescent="0.3">
      <c r="A246" s="53" t="s">
        <v>212</v>
      </c>
      <c r="B246" s="54" t="s">
        <v>213</v>
      </c>
      <c r="C246" s="44">
        <v>3000</v>
      </c>
      <c r="D246" s="46">
        <f t="shared" si="1"/>
        <v>3600</v>
      </c>
    </row>
    <row r="247" spans="1:4" ht="21" x14ac:dyDescent="0.25">
      <c r="A247" s="56" t="s">
        <v>214</v>
      </c>
      <c r="B247" s="57" t="s">
        <v>215</v>
      </c>
      <c r="C247" s="44">
        <v>1000</v>
      </c>
      <c r="D247" s="46">
        <f t="shared" si="1"/>
        <v>1200</v>
      </c>
    </row>
    <row r="248" spans="1:4" ht="15.75" thickBot="1" x14ac:dyDescent="0.3">
      <c r="A248" s="56" t="s">
        <v>216</v>
      </c>
      <c r="B248" s="57" t="s">
        <v>217</v>
      </c>
      <c r="C248" s="47">
        <v>1000</v>
      </c>
      <c r="D248" s="46">
        <f t="shared" si="1"/>
        <v>1200</v>
      </c>
    </row>
    <row r="249" spans="1:4" ht="16.5" thickBot="1" x14ac:dyDescent="0.3">
      <c r="A249" s="205" t="s">
        <v>218</v>
      </c>
      <c r="B249" s="206"/>
      <c r="C249" s="207"/>
      <c r="D249" s="45"/>
    </row>
    <row r="250" spans="1:4" ht="40.9" customHeight="1" x14ac:dyDescent="0.25">
      <c r="A250" s="21" t="s">
        <v>219</v>
      </c>
      <c r="B250" s="203" t="s">
        <v>221</v>
      </c>
      <c r="C250" s="171">
        <v>1650</v>
      </c>
      <c r="D250" s="170">
        <f>C250*1.2*1.2</f>
        <v>2376</v>
      </c>
    </row>
    <row r="251" spans="1:4" ht="15.75" thickBot="1" x14ac:dyDescent="0.3">
      <c r="A251" s="29" t="s">
        <v>220</v>
      </c>
      <c r="B251" s="204"/>
      <c r="C251" s="169"/>
      <c r="D251" s="170"/>
    </row>
    <row r="252" spans="1:4" ht="40.9" customHeight="1" x14ac:dyDescent="0.25">
      <c r="A252" s="21" t="s">
        <v>219</v>
      </c>
      <c r="B252" s="203" t="s">
        <v>223</v>
      </c>
      <c r="C252" s="169">
        <v>1700</v>
      </c>
      <c r="D252" s="170">
        <f t="shared" ref="D252" si="2">C252*1.2*1.2</f>
        <v>2448</v>
      </c>
    </row>
    <row r="253" spans="1:4" ht="15.75" thickBot="1" x14ac:dyDescent="0.3">
      <c r="A253" s="29" t="s">
        <v>222</v>
      </c>
      <c r="B253" s="204"/>
      <c r="C253" s="169"/>
      <c r="D253" s="170"/>
    </row>
    <row r="254" spans="1:4" ht="42" customHeight="1" x14ac:dyDescent="0.25">
      <c r="A254" s="21" t="s">
        <v>219</v>
      </c>
      <c r="B254" s="203" t="s">
        <v>225</v>
      </c>
      <c r="C254" s="169">
        <v>2100</v>
      </c>
      <c r="D254" s="170">
        <f t="shared" ref="D254" si="3">C254*1.2*1.2</f>
        <v>3024</v>
      </c>
    </row>
    <row r="255" spans="1:4" ht="15.75" thickBot="1" x14ac:dyDescent="0.3">
      <c r="A255" s="29" t="s">
        <v>224</v>
      </c>
      <c r="B255" s="204"/>
      <c r="C255" s="169"/>
      <c r="D255" s="170"/>
    </row>
    <row r="256" spans="1:4" ht="42" customHeight="1" x14ac:dyDescent="0.25">
      <c r="A256" s="21" t="s">
        <v>219</v>
      </c>
      <c r="B256" s="203" t="s">
        <v>227</v>
      </c>
      <c r="C256" s="169">
        <v>2000</v>
      </c>
      <c r="D256" s="170">
        <f t="shared" ref="D256" si="4">C256*1.2*1.2</f>
        <v>2880</v>
      </c>
    </row>
    <row r="257" spans="1:4" ht="15.75" thickBot="1" x14ac:dyDescent="0.3">
      <c r="A257" s="29" t="s">
        <v>226</v>
      </c>
      <c r="B257" s="204"/>
      <c r="C257" s="169"/>
      <c r="D257" s="170"/>
    </row>
    <row r="258" spans="1:4" ht="30" customHeight="1" x14ac:dyDescent="0.25">
      <c r="A258" s="21" t="s">
        <v>219</v>
      </c>
      <c r="B258" s="203" t="s">
        <v>229</v>
      </c>
      <c r="C258" s="169">
        <v>3000</v>
      </c>
      <c r="D258" s="170">
        <f t="shared" ref="D258" si="5">C258*1.2*1.2</f>
        <v>4320</v>
      </c>
    </row>
    <row r="259" spans="1:4" x14ac:dyDescent="0.25">
      <c r="A259" s="21" t="s">
        <v>228</v>
      </c>
      <c r="B259" s="212"/>
      <c r="C259" s="169"/>
      <c r="D259" s="170"/>
    </row>
    <row r="260" spans="1:4" ht="31.15" customHeight="1" x14ac:dyDescent="0.25">
      <c r="A260" s="21" t="s">
        <v>219</v>
      </c>
      <c r="B260" s="212" t="s">
        <v>231</v>
      </c>
      <c r="C260" s="169">
        <v>5200</v>
      </c>
      <c r="D260" s="170">
        <f t="shared" ref="D260" si="6">C260*1.2*1.2</f>
        <v>7488</v>
      </c>
    </row>
    <row r="261" spans="1:4" x14ac:dyDescent="0.25">
      <c r="A261" s="21" t="s">
        <v>230</v>
      </c>
      <c r="B261" s="212"/>
      <c r="C261" s="169"/>
      <c r="D261" s="170"/>
    </row>
    <row r="262" spans="1:4" ht="40.9" customHeight="1" x14ac:dyDescent="0.25">
      <c r="A262" s="21" t="s">
        <v>219</v>
      </c>
      <c r="B262" s="212" t="s">
        <v>233</v>
      </c>
      <c r="C262" s="169">
        <v>400</v>
      </c>
      <c r="D262" s="170">
        <f t="shared" ref="D262" si="7">C262*1.2*1.2</f>
        <v>576</v>
      </c>
    </row>
    <row r="263" spans="1:4" ht="15.75" thickBot="1" x14ac:dyDescent="0.3">
      <c r="A263" s="29" t="s">
        <v>232</v>
      </c>
      <c r="B263" s="204"/>
      <c r="C263" s="169"/>
      <c r="D263" s="170"/>
    </row>
    <row r="264" spans="1:4" ht="40.9" customHeight="1" x14ac:dyDescent="0.25">
      <c r="A264" s="21" t="s">
        <v>219</v>
      </c>
      <c r="B264" s="203" t="s">
        <v>235</v>
      </c>
      <c r="C264" s="169">
        <v>440</v>
      </c>
      <c r="D264" s="170">
        <f t="shared" ref="D264" si="8">C264*1.2*1.2</f>
        <v>633.6</v>
      </c>
    </row>
    <row r="265" spans="1:4" ht="15.75" thickBot="1" x14ac:dyDescent="0.3">
      <c r="A265" s="29" t="s">
        <v>234</v>
      </c>
      <c r="B265" s="204"/>
      <c r="C265" s="169"/>
      <c r="D265" s="170"/>
    </row>
    <row r="266" spans="1:4" ht="53.45" customHeight="1" x14ac:dyDescent="0.25">
      <c r="A266" s="21" t="s">
        <v>219</v>
      </c>
      <c r="B266" s="203" t="s">
        <v>237</v>
      </c>
      <c r="C266" s="169">
        <v>2600</v>
      </c>
      <c r="D266" s="170">
        <f t="shared" ref="D266" si="9">C266*1.2*1.2</f>
        <v>3744</v>
      </c>
    </row>
    <row r="267" spans="1:4" ht="15.75" thickBot="1" x14ac:dyDescent="0.3">
      <c r="A267" s="30" t="s">
        <v>236</v>
      </c>
      <c r="B267" s="204"/>
      <c r="C267" s="169"/>
      <c r="D267" s="170"/>
    </row>
    <row r="268" spans="1:4" ht="54" customHeight="1" x14ac:dyDescent="0.25">
      <c r="A268" s="21" t="s">
        <v>219</v>
      </c>
      <c r="B268" s="203" t="s">
        <v>239</v>
      </c>
      <c r="C268" s="169">
        <v>2700</v>
      </c>
      <c r="D268" s="170">
        <f t="shared" ref="D268" si="10">C268*1.2*1.2</f>
        <v>3888</v>
      </c>
    </row>
    <row r="269" spans="1:4" x14ac:dyDescent="0.25">
      <c r="A269" s="34" t="s">
        <v>238</v>
      </c>
      <c r="B269" s="212"/>
      <c r="C269" s="169"/>
      <c r="D269" s="170"/>
    </row>
    <row r="270" spans="1:4" ht="53.45" customHeight="1" x14ac:dyDescent="0.25">
      <c r="A270" s="21" t="s">
        <v>219</v>
      </c>
      <c r="B270" s="212" t="s">
        <v>241</v>
      </c>
      <c r="C270" s="169">
        <v>3000</v>
      </c>
      <c r="D270" s="170">
        <f t="shared" ref="D270" si="11">C270*1.2*1.2</f>
        <v>4320</v>
      </c>
    </row>
    <row r="271" spans="1:4" ht="15.75" thickBot="1" x14ac:dyDescent="0.3">
      <c r="A271" s="30" t="s">
        <v>240</v>
      </c>
      <c r="B271" s="204"/>
      <c r="C271" s="169"/>
      <c r="D271" s="170"/>
    </row>
    <row r="272" spans="1:4" ht="65.45" customHeight="1" x14ac:dyDescent="0.25">
      <c r="A272" s="40" t="s">
        <v>219</v>
      </c>
      <c r="B272" s="203" t="s">
        <v>243</v>
      </c>
      <c r="C272" s="169">
        <v>3300</v>
      </c>
      <c r="D272" s="170">
        <f t="shared" ref="D272" si="12">C272*1.2*1.2</f>
        <v>4752</v>
      </c>
    </row>
    <row r="273" spans="1:4" x14ac:dyDescent="0.25">
      <c r="A273" s="34" t="s">
        <v>242</v>
      </c>
      <c r="B273" s="212"/>
      <c r="C273" s="169"/>
      <c r="D273" s="170"/>
    </row>
    <row r="274" spans="1:4" ht="65.45" customHeight="1" x14ac:dyDescent="0.25">
      <c r="A274" s="40" t="s">
        <v>244</v>
      </c>
      <c r="B274" s="212" t="s">
        <v>246</v>
      </c>
      <c r="C274" s="169">
        <v>3000</v>
      </c>
      <c r="D274" s="170">
        <f t="shared" ref="D274" si="13">C274*1.2*1.2</f>
        <v>4320</v>
      </c>
    </row>
    <row r="275" spans="1:4" x14ac:dyDescent="0.25">
      <c r="A275" s="34" t="s">
        <v>245</v>
      </c>
      <c r="B275" s="212"/>
      <c r="C275" s="169"/>
      <c r="D275" s="170"/>
    </row>
    <row r="276" spans="1:4" ht="54" customHeight="1" x14ac:dyDescent="0.25">
      <c r="A276" s="40" t="s">
        <v>219</v>
      </c>
      <c r="B276" s="212" t="s">
        <v>248</v>
      </c>
      <c r="C276" s="169">
        <v>3100</v>
      </c>
      <c r="D276" s="170">
        <f t="shared" ref="D276" si="14">C276*1.2*1.2</f>
        <v>4464</v>
      </c>
    </row>
    <row r="277" spans="1:4" x14ac:dyDescent="0.25">
      <c r="A277" s="40" t="s">
        <v>247</v>
      </c>
      <c r="B277" s="212"/>
      <c r="C277" s="169"/>
      <c r="D277" s="170"/>
    </row>
    <row r="278" spans="1:4" ht="64.900000000000006" customHeight="1" x14ac:dyDescent="0.25">
      <c r="A278" s="40" t="s">
        <v>219</v>
      </c>
      <c r="B278" s="212" t="s">
        <v>250</v>
      </c>
      <c r="C278" s="169">
        <v>4100</v>
      </c>
      <c r="D278" s="170">
        <f t="shared" ref="D278" si="15">C278*1.2*1.2</f>
        <v>5904</v>
      </c>
    </row>
    <row r="279" spans="1:4" ht="15.75" thickBot="1" x14ac:dyDescent="0.3">
      <c r="A279" s="41" t="s">
        <v>249</v>
      </c>
      <c r="B279" s="204"/>
      <c r="C279" s="169"/>
      <c r="D279" s="170"/>
    </row>
    <row r="280" spans="1:4" ht="64.900000000000006" customHeight="1" x14ac:dyDescent="0.25">
      <c r="A280" s="40" t="s">
        <v>219</v>
      </c>
      <c r="B280" s="203" t="s">
        <v>252</v>
      </c>
      <c r="C280" s="169">
        <v>3100</v>
      </c>
      <c r="D280" s="170">
        <f t="shared" ref="D280" si="16">C280*1.2*1.2</f>
        <v>4464</v>
      </c>
    </row>
    <row r="281" spans="1:4" ht="15.75" thickBot="1" x14ac:dyDescent="0.3">
      <c r="A281" s="41" t="s">
        <v>251</v>
      </c>
      <c r="B281" s="204"/>
      <c r="C281" s="169"/>
      <c r="D281" s="170"/>
    </row>
    <row r="282" spans="1:4" ht="30.6" customHeight="1" x14ac:dyDescent="0.25">
      <c r="A282" s="40" t="s">
        <v>219</v>
      </c>
      <c r="B282" s="203" t="s">
        <v>254</v>
      </c>
      <c r="C282" s="169" t="s">
        <v>277</v>
      </c>
      <c r="D282" s="170" t="s">
        <v>277</v>
      </c>
    </row>
    <row r="283" spans="1:4" ht="15.75" thickBot="1" x14ac:dyDescent="0.3">
      <c r="A283" s="41" t="s">
        <v>253</v>
      </c>
      <c r="B283" s="204"/>
      <c r="C283" s="169"/>
      <c r="D283" s="170"/>
    </row>
    <row r="284" spans="1:4" ht="30.6" customHeight="1" x14ac:dyDescent="0.25">
      <c r="A284" s="40" t="s">
        <v>219</v>
      </c>
      <c r="B284" s="203" t="s">
        <v>256</v>
      </c>
      <c r="C284" s="169" t="s">
        <v>277</v>
      </c>
      <c r="D284" s="170" t="s">
        <v>277</v>
      </c>
    </row>
    <row r="285" spans="1:4" ht="15.75" thickBot="1" x14ac:dyDescent="0.3">
      <c r="A285" s="41" t="s">
        <v>255</v>
      </c>
      <c r="B285" s="204"/>
      <c r="C285" s="169"/>
      <c r="D285" s="170"/>
    </row>
    <row r="286" spans="1:4" ht="30.6" customHeight="1" x14ac:dyDescent="0.25">
      <c r="A286" s="40" t="s">
        <v>219</v>
      </c>
      <c r="B286" s="203" t="s">
        <v>258</v>
      </c>
      <c r="C286" s="169" t="s">
        <v>277</v>
      </c>
      <c r="D286" s="170" t="s">
        <v>277</v>
      </c>
    </row>
    <row r="287" spans="1:4" ht="15.75" thickBot="1" x14ac:dyDescent="0.3">
      <c r="A287" s="41" t="s">
        <v>257</v>
      </c>
      <c r="B287" s="204"/>
      <c r="C287" s="169"/>
      <c r="D287" s="170"/>
    </row>
    <row r="288" spans="1:4" ht="52.15" customHeight="1" x14ac:dyDescent="0.25">
      <c r="A288" s="21" t="s">
        <v>219</v>
      </c>
      <c r="B288" s="203" t="s">
        <v>260</v>
      </c>
      <c r="C288" s="169">
        <v>3800</v>
      </c>
      <c r="D288" s="170">
        <f t="shared" ref="D288" si="17">C288*1.2*1.2</f>
        <v>5472</v>
      </c>
    </row>
    <row r="289" spans="1:4" ht="15.75" thickBot="1" x14ac:dyDescent="0.3">
      <c r="A289" s="30" t="s">
        <v>259</v>
      </c>
      <c r="B289" s="204"/>
      <c r="C289" s="169"/>
      <c r="D289" s="170"/>
    </row>
    <row r="290" spans="1:4" ht="42" customHeight="1" x14ac:dyDescent="0.25">
      <c r="A290" s="21" t="s">
        <v>219</v>
      </c>
      <c r="B290" s="203" t="s">
        <v>262</v>
      </c>
      <c r="C290" s="169">
        <v>5000</v>
      </c>
      <c r="D290" s="170">
        <f t="shared" ref="D290" si="18">C290*1.2*1.2</f>
        <v>7200</v>
      </c>
    </row>
    <row r="291" spans="1:4" ht="15.75" thickBot="1" x14ac:dyDescent="0.3">
      <c r="A291" s="30" t="s">
        <v>261</v>
      </c>
      <c r="B291" s="204"/>
      <c r="C291" s="169"/>
      <c r="D291" s="170"/>
    </row>
    <row r="292" spans="1:4" ht="53.45" customHeight="1" x14ac:dyDescent="0.25">
      <c r="A292" s="21" t="s">
        <v>219</v>
      </c>
      <c r="B292" s="203" t="s">
        <v>264</v>
      </c>
      <c r="C292" s="169">
        <v>5700</v>
      </c>
      <c r="D292" s="170">
        <f t="shared" ref="D292" si="19">C292*1.2*1.2</f>
        <v>8208</v>
      </c>
    </row>
    <row r="293" spans="1:4" ht="15.75" thickBot="1" x14ac:dyDescent="0.3">
      <c r="A293" s="30" t="s">
        <v>263</v>
      </c>
      <c r="B293" s="204"/>
      <c r="C293" s="176"/>
      <c r="D293" s="170"/>
    </row>
    <row r="294" spans="1:4" ht="16.5" thickBot="1" x14ac:dyDescent="0.3">
      <c r="A294" s="221" t="s">
        <v>265</v>
      </c>
      <c r="B294" s="222"/>
      <c r="C294" s="223"/>
      <c r="D294" s="45"/>
    </row>
    <row r="295" spans="1:4" ht="53.25" thickBot="1" x14ac:dyDescent="0.3">
      <c r="A295" s="29" t="s">
        <v>266</v>
      </c>
      <c r="B295" s="39" t="s">
        <v>267</v>
      </c>
      <c r="C295" s="44">
        <v>4750</v>
      </c>
      <c r="D295" s="46">
        <f>C295*1.2*1.2</f>
        <v>6840</v>
      </c>
    </row>
    <row r="296" spans="1:4" ht="42.75" thickBot="1" x14ac:dyDescent="0.3">
      <c r="A296" s="29" t="s">
        <v>268</v>
      </c>
      <c r="B296" s="39" t="s">
        <v>269</v>
      </c>
      <c r="C296" s="44">
        <v>3875</v>
      </c>
      <c r="D296" s="46">
        <f t="shared" ref="D296:D299" si="20">C296*1.2*1.2</f>
        <v>5580</v>
      </c>
    </row>
    <row r="297" spans="1:4" ht="53.25" thickBot="1" x14ac:dyDescent="0.3">
      <c r="A297" s="29" t="s">
        <v>270</v>
      </c>
      <c r="B297" s="39" t="s">
        <v>271</v>
      </c>
      <c r="C297" s="44">
        <v>9000</v>
      </c>
      <c r="D297" s="46">
        <f t="shared" si="20"/>
        <v>12960</v>
      </c>
    </row>
    <row r="298" spans="1:4" ht="42.75" thickBot="1" x14ac:dyDescent="0.3">
      <c r="A298" s="29" t="s">
        <v>272</v>
      </c>
      <c r="B298" s="39" t="s">
        <v>273</v>
      </c>
      <c r="C298" s="44">
        <v>4000</v>
      </c>
      <c r="D298" s="46">
        <f t="shared" si="20"/>
        <v>5760</v>
      </c>
    </row>
    <row r="299" spans="1:4" ht="42.75" thickBot="1" x14ac:dyDescent="0.3">
      <c r="A299" s="29" t="s">
        <v>274</v>
      </c>
      <c r="B299" s="39" t="s">
        <v>275</v>
      </c>
      <c r="C299" s="44">
        <v>2300</v>
      </c>
      <c r="D299" s="46">
        <f t="shared" si="20"/>
        <v>3312</v>
      </c>
    </row>
  </sheetData>
  <mergeCells count="200">
    <mergeCell ref="A160:C160"/>
    <mergeCell ref="B155:B156"/>
    <mergeCell ref="C155:C156"/>
    <mergeCell ref="D155:D156"/>
    <mergeCell ref="A294:C294"/>
    <mergeCell ref="C194:C199"/>
    <mergeCell ref="D194:D199"/>
    <mergeCell ref="A200:C200"/>
    <mergeCell ref="B208:B217"/>
    <mergeCell ref="B218:B224"/>
    <mergeCell ref="B225:B230"/>
    <mergeCell ref="A174:C174"/>
    <mergeCell ref="B175:B176"/>
    <mergeCell ref="C175:C176"/>
    <mergeCell ref="D175:D176"/>
    <mergeCell ref="A177:C177"/>
    <mergeCell ref="A178:C178"/>
    <mergeCell ref="B292:B293"/>
    <mergeCell ref="C292:C293"/>
    <mergeCell ref="D292:D293"/>
    <mergeCell ref="B280:B281"/>
    <mergeCell ref="C280:C281"/>
    <mergeCell ref="D280:D281"/>
    <mergeCell ref="B274:B275"/>
    <mergeCell ref="B148:B150"/>
    <mergeCell ref="C148:C150"/>
    <mergeCell ref="D148:D150"/>
    <mergeCell ref="B151:B154"/>
    <mergeCell ref="C151:C154"/>
    <mergeCell ref="D151:D154"/>
    <mergeCell ref="B157:B158"/>
    <mergeCell ref="C157:C158"/>
    <mergeCell ref="D157:D158"/>
    <mergeCell ref="A109:C109"/>
    <mergeCell ref="C110:C121"/>
    <mergeCell ref="D110:D121"/>
    <mergeCell ref="C122:C124"/>
    <mergeCell ref="D122:D124"/>
    <mergeCell ref="C125:C127"/>
    <mergeCell ref="D125:D127"/>
    <mergeCell ref="C128:C130"/>
    <mergeCell ref="D128:D130"/>
    <mergeCell ref="D37:D41"/>
    <mergeCell ref="C91:C93"/>
    <mergeCell ref="D91:D93"/>
    <mergeCell ref="C94:C95"/>
    <mergeCell ref="D94:D95"/>
    <mergeCell ref="C96:C98"/>
    <mergeCell ref="D96:D98"/>
    <mergeCell ref="D76:D78"/>
    <mergeCell ref="C79:C80"/>
    <mergeCell ref="D79:D80"/>
    <mergeCell ref="C81:C83"/>
    <mergeCell ref="D81:D83"/>
    <mergeCell ref="C84:C85"/>
    <mergeCell ref="D84:D85"/>
    <mergeCell ref="A1:C1"/>
    <mergeCell ref="A2:B2"/>
    <mergeCell ref="C5:C16"/>
    <mergeCell ref="D5:D16"/>
    <mergeCell ref="C17:C19"/>
    <mergeCell ref="B290:B291"/>
    <mergeCell ref="C290:C291"/>
    <mergeCell ref="D290:D291"/>
    <mergeCell ref="B286:B287"/>
    <mergeCell ref="C286:C287"/>
    <mergeCell ref="D286:D287"/>
    <mergeCell ref="B288:B289"/>
    <mergeCell ref="C288:C289"/>
    <mergeCell ref="D288:D289"/>
    <mergeCell ref="B282:B283"/>
    <mergeCell ref="C282:C283"/>
    <mergeCell ref="D282:D283"/>
    <mergeCell ref="B284:B285"/>
    <mergeCell ref="C284:C285"/>
    <mergeCell ref="D284:D285"/>
    <mergeCell ref="B278:B279"/>
    <mergeCell ref="C278:C279"/>
    <mergeCell ref="D278:D279"/>
    <mergeCell ref="D276:D277"/>
    <mergeCell ref="C274:C275"/>
    <mergeCell ref="D274:D275"/>
    <mergeCell ref="B276:B277"/>
    <mergeCell ref="C276:C277"/>
    <mergeCell ref="B262:B263"/>
    <mergeCell ref="C262:C263"/>
    <mergeCell ref="D262:D263"/>
    <mergeCell ref="B264:B265"/>
    <mergeCell ref="C264:C265"/>
    <mergeCell ref="D264:D265"/>
    <mergeCell ref="B270:B271"/>
    <mergeCell ref="C270:C271"/>
    <mergeCell ref="D270:D271"/>
    <mergeCell ref="B272:B273"/>
    <mergeCell ref="C272:C273"/>
    <mergeCell ref="D272:D273"/>
    <mergeCell ref="B266:B267"/>
    <mergeCell ref="C266:C267"/>
    <mergeCell ref="D266:D267"/>
    <mergeCell ref="B268:B269"/>
    <mergeCell ref="C268:C269"/>
    <mergeCell ref="D268:D269"/>
    <mergeCell ref="B258:B259"/>
    <mergeCell ref="C258:C259"/>
    <mergeCell ref="D258:D259"/>
    <mergeCell ref="B260:B261"/>
    <mergeCell ref="C260:C261"/>
    <mergeCell ref="D260:D261"/>
    <mergeCell ref="B254:B255"/>
    <mergeCell ref="C254:C255"/>
    <mergeCell ref="D254:D255"/>
    <mergeCell ref="B256:B257"/>
    <mergeCell ref="C256:C257"/>
    <mergeCell ref="D256:D257"/>
    <mergeCell ref="B240:B241"/>
    <mergeCell ref="B252:B253"/>
    <mergeCell ref="C252:C253"/>
    <mergeCell ref="D252:D253"/>
    <mergeCell ref="A249:C249"/>
    <mergeCell ref="B250:B251"/>
    <mergeCell ref="C250:C251"/>
    <mergeCell ref="D250:D251"/>
    <mergeCell ref="B231:B236"/>
    <mergeCell ref="A237:C237"/>
    <mergeCell ref="B238:B239"/>
    <mergeCell ref="A184:A193"/>
    <mergeCell ref="C184:C193"/>
    <mergeCell ref="D184:D193"/>
    <mergeCell ref="A194:A199"/>
    <mergeCell ref="A182:C182"/>
    <mergeCell ref="A183:C183"/>
    <mergeCell ref="D182:D183"/>
    <mergeCell ref="A179:A180"/>
    <mergeCell ref="C179:C180"/>
    <mergeCell ref="D179:D180"/>
    <mergeCell ref="A169:A171"/>
    <mergeCell ref="C169:C171"/>
    <mergeCell ref="D169:D171"/>
    <mergeCell ref="A161:A163"/>
    <mergeCell ref="C161:C163"/>
    <mergeCell ref="D161:D163"/>
    <mergeCell ref="A164:A166"/>
    <mergeCell ref="C164:C166"/>
    <mergeCell ref="D164:D166"/>
    <mergeCell ref="A167:A168"/>
    <mergeCell ref="C167:C168"/>
    <mergeCell ref="D167:D168"/>
    <mergeCell ref="B143:B145"/>
    <mergeCell ref="C143:C145"/>
    <mergeCell ref="D143:D145"/>
    <mergeCell ref="B146:B147"/>
    <mergeCell ref="B141:B142"/>
    <mergeCell ref="C141:C142"/>
    <mergeCell ref="D141:D142"/>
    <mergeCell ref="C131:C133"/>
    <mergeCell ref="D131:D133"/>
    <mergeCell ref="A134:C134"/>
    <mergeCell ref="B135:B137"/>
    <mergeCell ref="C135:C137"/>
    <mergeCell ref="D135:D137"/>
    <mergeCell ref="A138:C138"/>
    <mergeCell ref="B139:B140"/>
    <mergeCell ref="C139:C140"/>
    <mergeCell ref="D139:D140"/>
    <mergeCell ref="C146:C147"/>
    <mergeCell ref="D146:D147"/>
    <mergeCell ref="C103:C105"/>
    <mergeCell ref="D103:D105"/>
    <mergeCell ref="C106:C108"/>
    <mergeCell ref="C99:C102"/>
    <mergeCell ref="D99:D102"/>
    <mergeCell ref="C86:C88"/>
    <mergeCell ref="D86:D88"/>
    <mergeCell ref="C89:C90"/>
    <mergeCell ref="D89:D90"/>
    <mergeCell ref="D106:D108"/>
    <mergeCell ref="A3:C3"/>
    <mergeCell ref="C74:C75"/>
    <mergeCell ref="D74:D75"/>
    <mergeCell ref="C76:C78"/>
    <mergeCell ref="C43:C52"/>
    <mergeCell ref="D43:D52"/>
    <mergeCell ref="C53:C55"/>
    <mergeCell ref="A42:C42"/>
    <mergeCell ref="D17:D19"/>
    <mergeCell ref="C20:C23"/>
    <mergeCell ref="D20:D23"/>
    <mergeCell ref="C24:C27"/>
    <mergeCell ref="D53:D55"/>
    <mergeCell ref="C56:C58"/>
    <mergeCell ref="D56:D58"/>
    <mergeCell ref="A59:C59"/>
    <mergeCell ref="C60:C73"/>
    <mergeCell ref="D60:D73"/>
    <mergeCell ref="D24:D27"/>
    <mergeCell ref="C28:C32"/>
    <mergeCell ref="D28:D32"/>
    <mergeCell ref="C33:C36"/>
    <mergeCell ref="D33:D36"/>
    <mergeCell ref="C37:C41"/>
  </mergeCells>
  <hyperlinks>
    <hyperlink ref="B192" r:id="rId1" tooltip="http://tehnomer.ru/produkciya/programmnoe_obespechenie/gazset_standart/" display="http://tehnomer.ru/produkciya/programmnoe_obespechenie/gazset_standart/" xr:uid="{732840D8-6E5E-476F-9B7A-4C5E3274018F}"/>
  </hyperlinks>
  <pageMargins left="0.25" right="0.25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ADA61-3E40-4A73-9BF3-8DD3F0D58EEF}">
  <sheetPr>
    <pageSetUpPr fitToPage="1"/>
  </sheetPr>
  <dimension ref="A2:F273"/>
  <sheetViews>
    <sheetView tabSelected="1" topLeftCell="A71" zoomScale="110" zoomScaleNormal="110" workbookViewId="0">
      <pane xSplit="1" topLeftCell="B1" activePane="topRight" state="frozen"/>
      <selection activeCell="A18" sqref="A18"/>
      <selection pane="topRight" activeCell="A262" sqref="A262"/>
    </sheetView>
  </sheetViews>
  <sheetFormatPr defaultRowHeight="15" x14ac:dyDescent="0.25"/>
  <cols>
    <col min="1" max="1" width="31.7109375" customWidth="1"/>
    <col min="2" max="2" width="124.7109375" customWidth="1"/>
    <col min="3" max="3" width="18.28515625" customWidth="1"/>
    <col min="4" max="4" width="10" bestFit="1" customWidth="1"/>
  </cols>
  <sheetData>
    <row r="2" spans="1:4" ht="12.75" customHeight="1" x14ac:dyDescent="0.25"/>
    <row r="3" spans="1:4" ht="18.75" customHeight="1" x14ac:dyDescent="0.25">
      <c r="A3" t="s">
        <v>281</v>
      </c>
      <c r="C3" s="99" t="s">
        <v>282</v>
      </c>
    </row>
    <row r="4" spans="1:4" x14ac:dyDescent="0.25">
      <c r="C4" s="99" t="s">
        <v>285</v>
      </c>
    </row>
    <row r="5" spans="1:4" x14ac:dyDescent="0.25">
      <c r="B5" s="100"/>
      <c r="C5" s="99" t="s">
        <v>284</v>
      </c>
    </row>
    <row r="6" spans="1:4" x14ac:dyDescent="0.25">
      <c r="B6" s="100"/>
      <c r="C6" s="99" t="s">
        <v>289</v>
      </c>
    </row>
    <row r="7" spans="1:4" x14ac:dyDescent="0.25">
      <c r="A7" s="97" t="s">
        <v>286</v>
      </c>
      <c r="C7" s="67"/>
    </row>
    <row r="8" spans="1:4" x14ac:dyDescent="0.25">
      <c r="A8" s="97" t="s">
        <v>287</v>
      </c>
      <c r="C8" s="67"/>
    </row>
    <row r="9" spans="1:4" ht="15.75" thickBot="1" x14ac:dyDescent="0.3">
      <c r="A9" s="98" t="s">
        <v>288</v>
      </c>
      <c r="C9" s="67"/>
    </row>
    <row r="10" spans="1:4" ht="15.75" customHeight="1" thickBot="1" x14ac:dyDescent="0.3">
      <c r="A10" s="243" t="s">
        <v>279</v>
      </c>
      <c r="B10" s="244"/>
      <c r="C10" s="245"/>
    </row>
    <row r="11" spans="1:4" ht="32.450000000000003" customHeight="1" thickBot="1" x14ac:dyDescent="0.3">
      <c r="A11" s="270" t="s">
        <v>0</v>
      </c>
      <c r="B11" s="271"/>
      <c r="C11" s="157" t="s">
        <v>339</v>
      </c>
    </row>
    <row r="12" spans="1:4" ht="16.5" customHeight="1" thickBot="1" x14ac:dyDescent="0.3">
      <c r="A12" s="246" t="s">
        <v>1</v>
      </c>
      <c r="B12" s="247"/>
      <c r="C12" s="248"/>
    </row>
    <row r="13" spans="1:4" ht="15" customHeight="1" x14ac:dyDescent="0.25">
      <c r="A13" s="122" t="s">
        <v>2</v>
      </c>
      <c r="B13" s="155"/>
      <c r="C13" s="260">
        <v>19350</v>
      </c>
      <c r="D13" s="43"/>
    </row>
    <row r="14" spans="1:4" x14ac:dyDescent="0.25">
      <c r="A14" s="133" t="s">
        <v>3</v>
      </c>
      <c r="B14" s="156"/>
      <c r="C14" s="261"/>
      <c r="D14" s="43"/>
    </row>
    <row r="15" spans="1:4" x14ac:dyDescent="0.25">
      <c r="A15" s="134" t="s">
        <v>4</v>
      </c>
      <c r="B15" s="78" t="s">
        <v>5</v>
      </c>
      <c r="C15" s="261"/>
      <c r="D15" s="43"/>
    </row>
    <row r="16" spans="1:4" x14ac:dyDescent="0.25">
      <c r="A16" s="122"/>
      <c r="B16" s="78" t="s">
        <v>6</v>
      </c>
      <c r="C16" s="261"/>
      <c r="D16" s="43"/>
    </row>
    <row r="17" spans="1:6" x14ac:dyDescent="0.25">
      <c r="A17" s="135"/>
      <c r="B17" s="78" t="s">
        <v>7</v>
      </c>
      <c r="C17" s="261"/>
      <c r="D17" s="43"/>
    </row>
    <row r="18" spans="1:6" x14ac:dyDescent="0.25">
      <c r="A18" s="135"/>
      <c r="B18" s="78" t="s">
        <v>8</v>
      </c>
      <c r="C18" s="261"/>
      <c r="D18" s="43"/>
    </row>
    <row r="19" spans="1:6" x14ac:dyDescent="0.25">
      <c r="A19" s="135"/>
      <c r="B19" s="78" t="s">
        <v>9</v>
      </c>
      <c r="C19" s="261"/>
      <c r="D19" s="43"/>
      <c r="E19" s="103"/>
      <c r="F19" s="103"/>
    </row>
    <row r="20" spans="1:6" x14ac:dyDescent="0.25">
      <c r="A20" s="135"/>
      <c r="B20" s="78" t="s">
        <v>10</v>
      </c>
      <c r="C20" s="261"/>
      <c r="D20" s="43"/>
    </row>
    <row r="21" spans="1:6" x14ac:dyDescent="0.25">
      <c r="A21" s="135"/>
      <c r="B21" s="78" t="s">
        <v>11</v>
      </c>
      <c r="C21" s="261"/>
      <c r="D21" s="43"/>
    </row>
    <row r="22" spans="1:6" x14ac:dyDescent="0.25">
      <c r="A22" s="135"/>
      <c r="B22" s="78" t="s">
        <v>12</v>
      </c>
      <c r="C22" s="261"/>
      <c r="D22" s="43"/>
    </row>
    <row r="23" spans="1:6" x14ac:dyDescent="0.25">
      <c r="A23" s="135"/>
      <c r="B23" s="78" t="s">
        <v>13</v>
      </c>
      <c r="C23" s="261"/>
      <c r="D23" s="43"/>
    </row>
    <row r="24" spans="1:6" ht="22.5" customHeight="1" thickBot="1" x14ac:dyDescent="0.3">
      <c r="A24" s="135"/>
      <c r="B24" s="78" t="s">
        <v>14</v>
      </c>
      <c r="C24" s="262"/>
      <c r="D24" s="43"/>
    </row>
    <row r="25" spans="1:6" ht="22.5" customHeight="1" x14ac:dyDescent="0.25">
      <c r="A25" s="158" t="s">
        <v>337</v>
      </c>
      <c r="B25" s="78" t="s">
        <v>15</v>
      </c>
      <c r="C25" s="263">
        <v>15970</v>
      </c>
      <c r="D25" s="43"/>
    </row>
    <row r="26" spans="1:6" ht="22.5" customHeight="1" x14ac:dyDescent="0.25">
      <c r="A26" s="133" t="s">
        <v>3</v>
      </c>
      <c r="B26" s="78"/>
      <c r="C26" s="261"/>
      <c r="D26" s="43"/>
    </row>
    <row r="27" spans="1:6" ht="22.5" customHeight="1" thickBot="1" x14ac:dyDescent="0.3">
      <c r="A27" s="134" t="s">
        <v>4</v>
      </c>
      <c r="B27" s="78"/>
      <c r="C27" s="262"/>
      <c r="D27" s="43"/>
    </row>
    <row r="28" spans="1:6" ht="21.75" customHeight="1" x14ac:dyDescent="0.25">
      <c r="A28" s="114" t="s">
        <v>16</v>
      </c>
      <c r="B28" s="78"/>
      <c r="C28" s="263">
        <v>21150</v>
      </c>
      <c r="D28" s="43"/>
    </row>
    <row r="29" spans="1:6" x14ac:dyDescent="0.25">
      <c r="A29" s="112" t="s">
        <v>17</v>
      </c>
      <c r="B29" s="80"/>
      <c r="C29" s="261"/>
      <c r="D29" s="43"/>
      <c r="E29" s="103"/>
    </row>
    <row r="30" spans="1:6" ht="15.75" thickBot="1" x14ac:dyDescent="0.3">
      <c r="A30" s="113" t="s">
        <v>4</v>
      </c>
      <c r="B30" s="87"/>
      <c r="C30" s="262"/>
      <c r="D30" s="43"/>
    </row>
    <row r="31" spans="1:6" x14ac:dyDescent="0.25">
      <c r="A31" s="114" t="s">
        <v>18</v>
      </c>
      <c r="B31" s="87"/>
      <c r="C31" s="263">
        <v>49100</v>
      </c>
      <c r="D31" s="43"/>
    </row>
    <row r="32" spans="1:6" x14ac:dyDescent="0.25">
      <c r="A32" s="112" t="s">
        <v>19</v>
      </c>
      <c r="B32" s="87"/>
      <c r="C32" s="261"/>
      <c r="D32" s="43"/>
    </row>
    <row r="33" spans="1:5" x14ac:dyDescent="0.25">
      <c r="A33" s="117" t="s">
        <v>4</v>
      </c>
      <c r="B33" s="87"/>
      <c r="C33" s="261"/>
      <c r="D33" s="43"/>
      <c r="E33" s="103"/>
    </row>
    <row r="34" spans="1:5" ht="15.75" thickBot="1" x14ac:dyDescent="0.3">
      <c r="A34" s="116"/>
      <c r="B34" s="87"/>
      <c r="C34" s="267"/>
      <c r="D34" s="43"/>
    </row>
    <row r="35" spans="1:5" ht="15.75" hidden="1" thickBot="1" x14ac:dyDescent="0.3">
      <c r="A35" s="72" t="s">
        <v>20</v>
      </c>
      <c r="B35" s="230" t="s">
        <v>21</v>
      </c>
      <c r="C35" s="264"/>
      <c r="D35" s="43"/>
    </row>
    <row r="36" spans="1:5" ht="15.75" hidden="1" thickBot="1" x14ac:dyDescent="0.3">
      <c r="A36" s="74" t="s">
        <v>3</v>
      </c>
      <c r="B36" s="231"/>
      <c r="C36" s="265"/>
      <c r="D36" s="43"/>
    </row>
    <row r="37" spans="1:5" ht="15.75" hidden="1" thickBot="1" x14ac:dyDescent="0.3">
      <c r="A37" s="75" t="s">
        <v>4</v>
      </c>
      <c r="B37" s="231"/>
      <c r="C37" s="265"/>
      <c r="D37" s="43"/>
    </row>
    <row r="38" spans="1:5" ht="15.75" hidden="1" thickBot="1" x14ac:dyDescent="0.3">
      <c r="A38" s="72" t="s">
        <v>22</v>
      </c>
      <c r="B38" s="230" t="s">
        <v>23</v>
      </c>
      <c r="C38" s="264"/>
      <c r="D38" s="43"/>
    </row>
    <row r="39" spans="1:5" ht="15.75" hidden="1" thickBot="1" x14ac:dyDescent="0.3">
      <c r="A39" s="74" t="s">
        <v>17</v>
      </c>
      <c r="B39" s="231"/>
      <c r="C39" s="265"/>
      <c r="D39" s="43"/>
    </row>
    <row r="40" spans="1:5" ht="15.75" hidden="1" thickBot="1" x14ac:dyDescent="0.3">
      <c r="A40" s="75" t="s">
        <v>4</v>
      </c>
      <c r="B40" s="232"/>
      <c r="C40" s="265"/>
      <c r="D40" s="43"/>
    </row>
    <row r="41" spans="1:5" ht="15.75" hidden="1" thickBot="1" x14ac:dyDescent="0.3">
      <c r="A41" s="72" t="s">
        <v>24</v>
      </c>
      <c r="B41" s="73"/>
      <c r="C41" s="264" t="e">
        <f>#REF!*1.2</f>
        <v>#REF!</v>
      </c>
      <c r="D41" s="43"/>
    </row>
    <row r="42" spans="1:5" ht="15.75" hidden="1" thickBot="1" x14ac:dyDescent="0.3">
      <c r="A42" s="74" t="s">
        <v>3</v>
      </c>
      <c r="B42" s="13" t="s">
        <v>25</v>
      </c>
      <c r="C42" s="265"/>
      <c r="D42" s="43"/>
    </row>
    <row r="43" spans="1:5" ht="15.75" hidden="1" thickBot="1" x14ac:dyDescent="0.3">
      <c r="A43" s="76" t="s">
        <v>4</v>
      </c>
      <c r="B43" s="77"/>
      <c r="C43" s="266"/>
      <c r="D43" s="43"/>
    </row>
    <row r="44" spans="1:5" ht="15.75" hidden="1" thickBot="1" x14ac:dyDescent="0.3">
      <c r="A44" s="72" t="s">
        <v>26</v>
      </c>
      <c r="B44" s="73"/>
      <c r="C44" s="264" t="e">
        <f>#REF!*1.2</f>
        <v>#REF!</v>
      </c>
      <c r="D44" s="43"/>
    </row>
    <row r="45" spans="1:5" ht="15.75" hidden="1" thickBot="1" x14ac:dyDescent="0.3">
      <c r="A45" s="74" t="s">
        <v>17</v>
      </c>
      <c r="B45" s="13" t="s">
        <v>25</v>
      </c>
      <c r="C45" s="265"/>
      <c r="D45" s="43"/>
    </row>
    <row r="46" spans="1:5" ht="15.75" hidden="1" thickBot="1" x14ac:dyDescent="0.3">
      <c r="A46" s="76" t="s">
        <v>4</v>
      </c>
      <c r="B46" s="77"/>
      <c r="C46" s="266"/>
      <c r="D46" s="43"/>
    </row>
    <row r="47" spans="1:5" ht="15.75" customHeight="1" thickBot="1" x14ac:dyDescent="0.3">
      <c r="A47" s="249" t="s">
        <v>27</v>
      </c>
      <c r="B47" s="250"/>
      <c r="C47" s="251"/>
      <c r="D47" s="43"/>
    </row>
    <row r="48" spans="1:5" ht="21" x14ac:dyDescent="0.25">
      <c r="A48" s="68" t="s">
        <v>28</v>
      </c>
      <c r="B48" s="136" t="s">
        <v>30</v>
      </c>
      <c r="C48" s="234">
        <v>25690</v>
      </c>
      <c r="D48" s="43"/>
    </row>
    <row r="49" spans="1:5" x14ac:dyDescent="0.25">
      <c r="A49" s="69" t="s">
        <v>29</v>
      </c>
      <c r="B49" s="78" t="s">
        <v>6</v>
      </c>
      <c r="C49" s="233"/>
      <c r="D49" s="43"/>
    </row>
    <row r="50" spans="1:5" x14ac:dyDescent="0.25">
      <c r="A50" s="70" t="s">
        <v>4</v>
      </c>
      <c r="B50" s="78" t="s">
        <v>7</v>
      </c>
      <c r="C50" s="233"/>
      <c r="D50" s="43"/>
      <c r="E50" s="103"/>
    </row>
    <row r="51" spans="1:5" x14ac:dyDescent="0.25">
      <c r="A51" s="88"/>
      <c r="B51" s="78" t="s">
        <v>8</v>
      </c>
      <c r="C51" s="233"/>
      <c r="D51" s="43"/>
    </row>
    <row r="52" spans="1:5" ht="15.75" thickBot="1" x14ac:dyDescent="0.3">
      <c r="A52" s="89"/>
      <c r="B52" s="78" t="s">
        <v>9</v>
      </c>
      <c r="C52" s="233"/>
      <c r="D52" s="43"/>
    </row>
    <row r="53" spans="1:5" ht="21" x14ac:dyDescent="0.25">
      <c r="A53" s="68" t="s">
        <v>32</v>
      </c>
      <c r="B53" s="137" t="s">
        <v>10</v>
      </c>
      <c r="C53" s="233">
        <v>32650</v>
      </c>
      <c r="D53" s="43"/>
    </row>
    <row r="54" spans="1:5" x14ac:dyDescent="0.25">
      <c r="A54" s="69" t="s">
        <v>33</v>
      </c>
      <c r="B54" s="137" t="s">
        <v>11</v>
      </c>
      <c r="C54" s="233"/>
      <c r="D54" s="43"/>
      <c r="E54" s="103"/>
    </row>
    <row r="55" spans="1:5" ht="15.75" thickBot="1" x14ac:dyDescent="0.3">
      <c r="A55" s="90" t="s">
        <v>4</v>
      </c>
      <c r="B55" s="137" t="s">
        <v>12</v>
      </c>
      <c r="C55" s="233"/>
      <c r="D55" s="43"/>
    </row>
    <row r="56" spans="1:5" x14ac:dyDescent="0.25">
      <c r="A56" s="91"/>
      <c r="B56" s="137" t="s">
        <v>13</v>
      </c>
      <c r="C56" s="233">
        <v>69820</v>
      </c>
      <c r="D56" s="43"/>
    </row>
    <row r="57" spans="1:5" ht="21" x14ac:dyDescent="0.25">
      <c r="A57" s="71" t="s">
        <v>34</v>
      </c>
      <c r="B57" s="137" t="s">
        <v>31</v>
      </c>
      <c r="C57" s="233"/>
      <c r="D57" s="43"/>
    </row>
    <row r="58" spans="1:5" x14ac:dyDescent="0.25">
      <c r="A58" s="69" t="s">
        <v>35</v>
      </c>
      <c r="B58" s="137" t="s">
        <v>14</v>
      </c>
      <c r="C58" s="233"/>
      <c r="D58" s="43"/>
      <c r="E58" s="103"/>
    </row>
    <row r="59" spans="1:5" ht="15.75" thickBot="1" x14ac:dyDescent="0.3">
      <c r="A59" s="90" t="s">
        <v>36</v>
      </c>
      <c r="B59" s="138" t="s">
        <v>15</v>
      </c>
      <c r="C59" s="235"/>
      <c r="D59" s="43"/>
    </row>
    <row r="60" spans="1:5" ht="14.45" customHeight="1" thickBot="1" x14ac:dyDescent="0.3">
      <c r="A60" s="268" t="s">
        <v>291</v>
      </c>
      <c r="B60" s="269"/>
      <c r="C60" s="269"/>
      <c r="D60" s="43"/>
    </row>
    <row r="61" spans="1:5" ht="21" x14ac:dyDescent="0.25">
      <c r="A61" s="114" t="s">
        <v>292</v>
      </c>
      <c r="B61" s="139" t="s">
        <v>30</v>
      </c>
      <c r="C61" s="260">
        <v>28190</v>
      </c>
      <c r="D61" s="43"/>
    </row>
    <row r="62" spans="1:5" x14ac:dyDescent="0.25">
      <c r="A62" s="112" t="s">
        <v>3</v>
      </c>
      <c r="B62" s="137" t="s">
        <v>6</v>
      </c>
      <c r="C62" s="261"/>
      <c r="D62" s="43"/>
      <c r="E62" s="103"/>
    </row>
    <row r="63" spans="1:5" ht="15.75" thickBot="1" x14ac:dyDescent="0.3">
      <c r="A63" s="113" t="s">
        <v>4</v>
      </c>
      <c r="B63" s="137" t="s">
        <v>7</v>
      </c>
      <c r="C63" s="262"/>
      <c r="D63" s="43"/>
    </row>
    <row r="64" spans="1:5" ht="21" x14ac:dyDescent="0.25">
      <c r="A64" s="114" t="s">
        <v>293</v>
      </c>
      <c r="B64" s="137" t="s">
        <v>8</v>
      </c>
      <c r="C64" s="263">
        <v>34970</v>
      </c>
      <c r="D64" s="43"/>
    </row>
    <row r="65" spans="1:5" x14ac:dyDescent="0.25">
      <c r="A65" s="112" t="s">
        <v>17</v>
      </c>
      <c r="B65" s="137" t="s">
        <v>9</v>
      </c>
      <c r="C65" s="261"/>
      <c r="D65" s="43"/>
      <c r="E65" s="103"/>
    </row>
    <row r="66" spans="1:5" ht="15.75" thickBot="1" x14ac:dyDescent="0.3">
      <c r="A66" s="113" t="s">
        <v>4</v>
      </c>
      <c r="B66" s="137" t="s">
        <v>10</v>
      </c>
      <c r="C66" s="262"/>
      <c r="D66" s="43"/>
    </row>
    <row r="67" spans="1:5" x14ac:dyDescent="0.25">
      <c r="A67" s="115"/>
      <c r="B67" s="137" t="s">
        <v>11</v>
      </c>
      <c r="C67" s="233">
        <v>74310</v>
      </c>
      <c r="D67" s="43"/>
    </row>
    <row r="68" spans="1:5" ht="21" x14ac:dyDescent="0.25">
      <c r="A68" s="116" t="s">
        <v>294</v>
      </c>
      <c r="B68" s="137" t="s">
        <v>12</v>
      </c>
      <c r="C68" s="233"/>
      <c r="D68" s="43"/>
    </row>
    <row r="69" spans="1:5" x14ac:dyDescent="0.25">
      <c r="A69" s="112" t="s">
        <v>19</v>
      </c>
      <c r="B69" s="137" t="s">
        <v>13</v>
      </c>
      <c r="C69" s="233"/>
      <c r="D69" s="43"/>
    </row>
    <row r="70" spans="1:5" x14ac:dyDescent="0.25">
      <c r="A70" s="117" t="s">
        <v>36</v>
      </c>
      <c r="B70" s="137" t="s">
        <v>31</v>
      </c>
      <c r="C70" s="233"/>
      <c r="D70" s="43"/>
      <c r="E70" s="103"/>
    </row>
    <row r="71" spans="1:5" x14ac:dyDescent="0.25">
      <c r="A71" s="117"/>
      <c r="B71" s="137" t="s">
        <v>297</v>
      </c>
      <c r="C71" s="233"/>
      <c r="D71" s="43"/>
    </row>
    <row r="72" spans="1:5" x14ac:dyDescent="0.25">
      <c r="A72" s="117"/>
      <c r="B72" s="137" t="s">
        <v>14</v>
      </c>
      <c r="C72" s="233"/>
      <c r="D72" s="43"/>
    </row>
    <row r="73" spans="1:5" ht="15.75" thickBot="1" x14ac:dyDescent="0.3">
      <c r="A73" s="113"/>
      <c r="B73" s="137" t="s">
        <v>15</v>
      </c>
      <c r="C73" s="233"/>
      <c r="D73" s="43"/>
    </row>
    <row r="74" spans="1:5" x14ac:dyDescent="0.25">
      <c r="A74" s="118" t="s">
        <v>295</v>
      </c>
      <c r="B74" s="137" t="s">
        <v>298</v>
      </c>
      <c r="C74" s="272" t="s">
        <v>277</v>
      </c>
      <c r="D74" s="43"/>
    </row>
    <row r="75" spans="1:5" ht="21.75" x14ac:dyDescent="0.25">
      <c r="A75" s="117" t="s">
        <v>296</v>
      </c>
      <c r="B75" s="137" t="s">
        <v>299</v>
      </c>
      <c r="C75" s="272"/>
      <c r="D75" s="43"/>
    </row>
    <row r="76" spans="1:5" ht="15.75" thickBot="1" x14ac:dyDescent="0.3">
      <c r="A76" s="113"/>
      <c r="B76" s="138" t="s">
        <v>300</v>
      </c>
      <c r="C76" s="273"/>
      <c r="D76" s="43"/>
    </row>
    <row r="77" spans="1:5" ht="14.45" customHeight="1" thickBot="1" x14ac:dyDescent="0.3">
      <c r="A77" s="249" t="s">
        <v>322</v>
      </c>
      <c r="B77" s="250"/>
      <c r="C77" s="290"/>
      <c r="D77" s="43"/>
    </row>
    <row r="78" spans="1:5" x14ac:dyDescent="0.25">
      <c r="A78" s="119" t="s">
        <v>310</v>
      </c>
      <c r="B78" s="139" t="s">
        <v>313</v>
      </c>
      <c r="C78" s="260">
        <v>1540</v>
      </c>
      <c r="D78" s="43"/>
    </row>
    <row r="79" spans="1:5" ht="21" x14ac:dyDescent="0.25">
      <c r="A79" s="117" t="s">
        <v>311</v>
      </c>
      <c r="B79" s="137"/>
      <c r="C79" s="261"/>
      <c r="D79" s="43"/>
    </row>
    <row r="80" spans="1:5" ht="15.75" thickBot="1" x14ac:dyDescent="0.3">
      <c r="A80" s="113" t="s">
        <v>312</v>
      </c>
      <c r="B80" s="138"/>
      <c r="C80" s="262"/>
      <c r="D80" s="43"/>
    </row>
    <row r="81" spans="1:5" x14ac:dyDescent="0.25">
      <c r="A81" s="119" t="s">
        <v>314</v>
      </c>
      <c r="B81" s="139" t="s">
        <v>315</v>
      </c>
      <c r="C81" s="263">
        <v>1540</v>
      </c>
      <c r="D81" s="43"/>
    </row>
    <row r="82" spans="1:5" ht="21" x14ac:dyDescent="0.25">
      <c r="A82" s="117" t="s">
        <v>311</v>
      </c>
      <c r="B82" s="137"/>
      <c r="C82" s="261"/>
      <c r="D82" s="43"/>
    </row>
    <row r="83" spans="1:5" ht="15.75" thickBot="1" x14ac:dyDescent="0.3">
      <c r="A83" s="113" t="s">
        <v>312</v>
      </c>
      <c r="B83" s="138"/>
      <c r="C83" s="262"/>
      <c r="D83" s="43"/>
    </row>
    <row r="84" spans="1:5" x14ac:dyDescent="0.25">
      <c r="A84" s="119" t="s">
        <v>316</v>
      </c>
      <c r="B84" s="137" t="s">
        <v>315</v>
      </c>
      <c r="C84" s="263">
        <v>3080</v>
      </c>
      <c r="D84" s="43"/>
    </row>
    <row r="85" spans="1:5" ht="21" x14ac:dyDescent="0.25">
      <c r="A85" s="117" t="s">
        <v>311</v>
      </c>
      <c r="B85" s="137" t="s">
        <v>313</v>
      </c>
      <c r="C85" s="261"/>
      <c r="D85" s="43"/>
    </row>
    <row r="86" spans="1:5" ht="15.75" thickBot="1" x14ac:dyDescent="0.3">
      <c r="A86" s="117" t="s">
        <v>312</v>
      </c>
      <c r="B86" s="78"/>
      <c r="C86" s="267"/>
      <c r="D86" s="43"/>
    </row>
    <row r="87" spans="1:5" ht="15.75" customHeight="1" thickBot="1" x14ac:dyDescent="0.3">
      <c r="A87" s="252" t="s">
        <v>317</v>
      </c>
      <c r="B87" s="253"/>
      <c r="C87" s="254"/>
      <c r="D87" s="43"/>
    </row>
    <row r="88" spans="1:5" ht="21" x14ac:dyDescent="0.25">
      <c r="A88" s="114" t="s">
        <v>38</v>
      </c>
      <c r="B88" s="78" t="s">
        <v>40</v>
      </c>
      <c r="C88" s="234">
        <v>48050</v>
      </c>
      <c r="D88" s="43"/>
    </row>
    <row r="89" spans="1:5" x14ac:dyDescent="0.25">
      <c r="A89" s="112" t="s">
        <v>3</v>
      </c>
      <c r="B89" s="78" t="s">
        <v>6</v>
      </c>
      <c r="C89" s="233"/>
      <c r="D89" s="43"/>
    </row>
    <row r="90" spans="1:5" x14ac:dyDescent="0.25">
      <c r="A90" s="117" t="s">
        <v>39</v>
      </c>
      <c r="B90" s="78" t="s">
        <v>41</v>
      </c>
      <c r="C90" s="233"/>
      <c r="D90" s="43"/>
      <c r="E90" s="103"/>
    </row>
    <row r="91" spans="1:5" ht="15.75" thickBot="1" x14ac:dyDescent="0.3">
      <c r="A91" s="120"/>
      <c r="B91" s="78" t="s">
        <v>8</v>
      </c>
      <c r="C91" s="233"/>
      <c r="D91" s="43"/>
    </row>
    <row r="92" spans="1:5" ht="21" x14ac:dyDescent="0.25">
      <c r="A92" s="114" t="s">
        <v>46</v>
      </c>
      <c r="B92" s="78" t="s">
        <v>42</v>
      </c>
      <c r="C92" s="233">
        <v>53000</v>
      </c>
      <c r="D92" s="43"/>
    </row>
    <row r="93" spans="1:5" x14ac:dyDescent="0.25">
      <c r="A93" s="112" t="s">
        <v>17</v>
      </c>
      <c r="B93" s="78" t="s">
        <v>43</v>
      </c>
      <c r="C93" s="233"/>
      <c r="D93" s="43"/>
      <c r="E93" s="103"/>
    </row>
    <row r="94" spans="1:5" ht="15.75" thickBot="1" x14ac:dyDescent="0.3">
      <c r="A94" s="113" t="s">
        <v>39</v>
      </c>
      <c r="B94" s="78" t="s">
        <v>10</v>
      </c>
      <c r="C94" s="233"/>
      <c r="D94" s="43"/>
    </row>
    <row r="95" spans="1:5" ht="21" x14ac:dyDescent="0.25">
      <c r="A95" s="114" t="s">
        <v>47</v>
      </c>
      <c r="B95" s="78" t="s">
        <v>11</v>
      </c>
      <c r="C95" s="233">
        <v>68550</v>
      </c>
      <c r="D95" s="43"/>
    </row>
    <row r="96" spans="1:5" x14ac:dyDescent="0.25">
      <c r="A96" s="112" t="s">
        <v>19</v>
      </c>
      <c r="B96" s="78" t="s">
        <v>12</v>
      </c>
      <c r="C96" s="233"/>
      <c r="D96" s="43"/>
      <c r="E96" s="103"/>
    </row>
    <row r="97" spans="1:5" ht="15.75" thickBot="1" x14ac:dyDescent="0.3">
      <c r="A97" s="117" t="s">
        <v>39</v>
      </c>
      <c r="B97" s="78" t="s">
        <v>44</v>
      </c>
      <c r="C97" s="233"/>
      <c r="D97" s="43"/>
    </row>
    <row r="98" spans="1:5" ht="21" x14ac:dyDescent="0.25">
      <c r="A98" s="114" t="s">
        <v>48</v>
      </c>
      <c r="B98" s="78" t="s">
        <v>14</v>
      </c>
      <c r="C98" s="233">
        <v>85190</v>
      </c>
      <c r="D98" s="159"/>
    </row>
    <row r="99" spans="1:5" x14ac:dyDescent="0.25">
      <c r="A99" s="112" t="s">
        <v>49</v>
      </c>
      <c r="B99" s="79" t="s">
        <v>15</v>
      </c>
      <c r="C99" s="233"/>
      <c r="D99" s="159"/>
      <c r="E99" s="103"/>
    </row>
    <row r="100" spans="1:5" ht="15.75" thickBot="1" x14ac:dyDescent="0.3">
      <c r="A100" s="113" t="s">
        <v>39</v>
      </c>
      <c r="C100" s="233"/>
      <c r="D100" s="159"/>
    </row>
    <row r="101" spans="1:5" ht="21" x14ac:dyDescent="0.25">
      <c r="A101" s="114" t="s">
        <v>50</v>
      </c>
      <c r="C101" s="233">
        <v>90960</v>
      </c>
      <c r="D101" s="159"/>
    </row>
    <row r="102" spans="1:5" x14ac:dyDescent="0.25">
      <c r="A102" s="112" t="s">
        <v>51</v>
      </c>
      <c r="B102" s="80"/>
      <c r="C102" s="233"/>
      <c r="D102" s="159"/>
      <c r="E102" s="103"/>
    </row>
    <row r="103" spans="1:5" ht="15.75" thickBot="1" x14ac:dyDescent="0.3">
      <c r="A103" s="113" t="s">
        <v>39</v>
      </c>
      <c r="C103" s="233"/>
      <c r="D103" s="43"/>
    </row>
    <row r="104" spans="1:5" ht="21" x14ac:dyDescent="0.25">
      <c r="A104" s="114" t="s">
        <v>52</v>
      </c>
      <c r="B104" s="92"/>
      <c r="C104" s="233">
        <v>192200</v>
      </c>
      <c r="D104" s="43"/>
    </row>
    <row r="105" spans="1:5" x14ac:dyDescent="0.25">
      <c r="A105" s="112" t="s">
        <v>53</v>
      </c>
      <c r="B105" s="92"/>
      <c r="C105" s="233"/>
      <c r="D105" s="43"/>
      <c r="E105" s="103"/>
    </row>
    <row r="106" spans="1:5" ht="15.75" thickBot="1" x14ac:dyDescent="0.3">
      <c r="A106" s="113" t="s">
        <v>54</v>
      </c>
      <c r="B106" s="92"/>
      <c r="C106" s="233"/>
      <c r="D106" s="43"/>
    </row>
    <row r="107" spans="1:5" ht="21" x14ac:dyDescent="0.25">
      <c r="A107" s="114" t="s">
        <v>55</v>
      </c>
      <c r="B107" s="92"/>
      <c r="C107" s="233">
        <v>217800</v>
      </c>
      <c r="D107" s="43"/>
    </row>
    <row r="108" spans="1:5" x14ac:dyDescent="0.25">
      <c r="A108" s="112" t="s">
        <v>53</v>
      </c>
      <c r="B108" s="92"/>
      <c r="C108" s="233"/>
      <c r="D108" s="43"/>
    </row>
    <row r="109" spans="1:5" x14ac:dyDescent="0.25">
      <c r="A109" s="117" t="s">
        <v>56</v>
      </c>
      <c r="B109" s="92"/>
      <c r="C109" s="233"/>
      <c r="D109" s="43"/>
      <c r="E109" s="103"/>
    </row>
    <row r="110" spans="1:5" ht="30" thickBot="1" x14ac:dyDescent="0.3">
      <c r="A110" s="132" t="s">
        <v>57</v>
      </c>
      <c r="B110" s="92"/>
      <c r="C110" s="233"/>
      <c r="D110" s="43"/>
    </row>
    <row r="111" spans="1:5" ht="21" x14ac:dyDescent="0.25">
      <c r="A111" s="114" t="s">
        <v>58</v>
      </c>
      <c r="B111" s="92"/>
      <c r="C111" s="233">
        <v>244680</v>
      </c>
      <c r="D111" s="43"/>
    </row>
    <row r="112" spans="1:5" x14ac:dyDescent="0.25">
      <c r="A112" s="112" t="s">
        <v>59</v>
      </c>
      <c r="B112" s="92"/>
      <c r="C112" s="233"/>
      <c r="D112" s="43"/>
      <c r="E112" s="103"/>
    </row>
    <row r="113" spans="1:5" ht="15.75" thickBot="1" x14ac:dyDescent="0.3">
      <c r="A113" s="113" t="s">
        <v>56</v>
      </c>
      <c r="B113" s="92"/>
      <c r="C113" s="233"/>
      <c r="D113" s="43"/>
    </row>
    <row r="114" spans="1:5" ht="21" x14ac:dyDescent="0.25">
      <c r="A114" s="114" t="s">
        <v>60</v>
      </c>
      <c r="B114" s="92"/>
      <c r="C114" s="233">
        <v>297660</v>
      </c>
      <c r="D114" s="43"/>
    </row>
    <row r="115" spans="1:5" x14ac:dyDescent="0.25">
      <c r="A115" s="112" t="s">
        <v>61</v>
      </c>
      <c r="B115" s="92"/>
      <c r="C115" s="233"/>
      <c r="D115" s="43"/>
      <c r="E115" s="103"/>
    </row>
    <row r="116" spans="1:5" ht="15.75" thickBot="1" x14ac:dyDescent="0.3">
      <c r="A116" s="117" t="s">
        <v>56</v>
      </c>
      <c r="B116" s="92"/>
      <c r="C116" s="235"/>
      <c r="D116" s="43"/>
    </row>
    <row r="117" spans="1:5" ht="15.75" customHeight="1" thickBot="1" x14ac:dyDescent="0.3">
      <c r="A117" s="249" t="s">
        <v>318</v>
      </c>
      <c r="B117" s="250"/>
      <c r="C117" s="259"/>
      <c r="D117" s="43"/>
    </row>
    <row r="118" spans="1:5" ht="21" x14ac:dyDescent="0.25">
      <c r="A118" s="93" t="s">
        <v>63</v>
      </c>
      <c r="B118" s="79" t="s">
        <v>64</v>
      </c>
      <c r="C118" s="234">
        <v>66620</v>
      </c>
      <c r="D118" s="43"/>
    </row>
    <row r="119" spans="1:5" ht="15.75" customHeight="1" x14ac:dyDescent="0.25">
      <c r="A119" s="94" t="s">
        <v>29</v>
      </c>
      <c r="B119" s="81" t="s">
        <v>283</v>
      </c>
      <c r="C119" s="233"/>
      <c r="D119" s="43"/>
    </row>
    <row r="120" spans="1:5" ht="15.75" thickBot="1" x14ac:dyDescent="0.3">
      <c r="A120" s="96" t="s">
        <v>39</v>
      </c>
      <c r="B120" s="78" t="s">
        <v>66</v>
      </c>
      <c r="C120" s="233"/>
      <c r="D120" s="43"/>
    </row>
    <row r="121" spans="1:5" ht="21" x14ac:dyDescent="0.25">
      <c r="A121" s="82" t="s">
        <v>71</v>
      </c>
      <c r="B121" s="136" t="s">
        <v>67</v>
      </c>
      <c r="C121" s="233">
        <v>72830</v>
      </c>
      <c r="D121" s="43"/>
    </row>
    <row r="122" spans="1:5" x14ac:dyDescent="0.25">
      <c r="A122" s="84" t="s">
        <v>33</v>
      </c>
      <c r="B122" s="78" t="s">
        <v>6</v>
      </c>
      <c r="C122" s="233"/>
      <c r="D122" s="43"/>
    </row>
    <row r="123" spans="1:5" ht="15.75" thickBot="1" x14ac:dyDescent="0.3">
      <c r="A123" s="85" t="s">
        <v>39</v>
      </c>
      <c r="B123" s="78" t="s">
        <v>41</v>
      </c>
      <c r="C123" s="233"/>
      <c r="D123" s="43"/>
    </row>
    <row r="124" spans="1:5" ht="21" x14ac:dyDescent="0.25">
      <c r="A124" s="83" t="s">
        <v>72</v>
      </c>
      <c r="B124" s="78" t="s">
        <v>8</v>
      </c>
      <c r="C124" s="233">
        <v>92180</v>
      </c>
      <c r="D124" s="43"/>
    </row>
    <row r="125" spans="1:5" x14ac:dyDescent="0.25">
      <c r="A125" s="84" t="s">
        <v>35</v>
      </c>
      <c r="B125" s="78" t="s">
        <v>68</v>
      </c>
      <c r="C125" s="233"/>
      <c r="D125" s="43"/>
    </row>
    <row r="126" spans="1:5" ht="15.75" thickBot="1" x14ac:dyDescent="0.3">
      <c r="A126" s="85" t="s">
        <v>39</v>
      </c>
      <c r="B126" s="78" t="s">
        <v>10</v>
      </c>
      <c r="C126" s="233"/>
      <c r="D126" s="43"/>
    </row>
    <row r="127" spans="1:5" ht="21" x14ac:dyDescent="0.25">
      <c r="A127" s="83" t="s">
        <v>73</v>
      </c>
      <c r="B127" s="78" t="s">
        <v>11</v>
      </c>
      <c r="C127" s="233">
        <v>110390</v>
      </c>
      <c r="D127" s="43"/>
    </row>
    <row r="128" spans="1:5" x14ac:dyDescent="0.25">
      <c r="A128" s="84" t="s">
        <v>74</v>
      </c>
      <c r="B128" s="78" t="s">
        <v>12</v>
      </c>
      <c r="C128" s="233"/>
      <c r="D128" s="43"/>
    </row>
    <row r="129" spans="1:4" ht="15.75" thickBot="1" x14ac:dyDescent="0.3">
      <c r="A129" s="86" t="s">
        <v>39</v>
      </c>
      <c r="B129" s="78" t="s">
        <v>44</v>
      </c>
      <c r="C129" s="233"/>
      <c r="D129" s="43"/>
    </row>
    <row r="130" spans="1:4" ht="21" x14ac:dyDescent="0.25">
      <c r="A130" s="93" t="s">
        <v>75</v>
      </c>
      <c r="B130" s="78" t="s">
        <v>31</v>
      </c>
      <c r="C130" s="233">
        <v>133560</v>
      </c>
      <c r="D130" s="43"/>
    </row>
    <row r="131" spans="1:4" x14ac:dyDescent="0.25">
      <c r="A131" s="94" t="s">
        <v>76</v>
      </c>
      <c r="B131" s="78" t="s">
        <v>70</v>
      </c>
      <c r="C131" s="233"/>
      <c r="D131" s="43"/>
    </row>
    <row r="132" spans="1:4" ht="15.75" thickBot="1" x14ac:dyDescent="0.3">
      <c r="A132" s="95" t="s">
        <v>39</v>
      </c>
      <c r="B132" s="101" t="s">
        <v>15</v>
      </c>
      <c r="C132" s="235"/>
      <c r="D132" s="43"/>
    </row>
    <row r="133" spans="1:4" ht="15" customHeight="1" thickBot="1" x14ac:dyDescent="0.3">
      <c r="A133" s="249" t="s">
        <v>320</v>
      </c>
      <c r="B133" s="250"/>
      <c r="C133" s="259"/>
      <c r="D133" s="43"/>
    </row>
    <row r="134" spans="1:4" x14ac:dyDescent="0.25">
      <c r="A134" s="102" t="s">
        <v>319</v>
      </c>
      <c r="B134" s="137" t="s">
        <v>313</v>
      </c>
      <c r="C134" s="234">
        <v>1540</v>
      </c>
      <c r="D134" s="43"/>
    </row>
    <row r="135" spans="1:4" ht="21" x14ac:dyDescent="0.25">
      <c r="A135" s="96" t="s">
        <v>311</v>
      </c>
      <c r="B135" s="78"/>
      <c r="C135" s="233"/>
      <c r="D135" s="43"/>
    </row>
    <row r="136" spans="1:4" ht="15.75" thickBot="1" x14ac:dyDescent="0.3">
      <c r="A136" s="95" t="s">
        <v>312</v>
      </c>
      <c r="B136" s="78"/>
      <c r="C136" s="235"/>
      <c r="D136" s="43"/>
    </row>
    <row r="137" spans="1:4" ht="16.5" customHeight="1" thickBot="1" x14ac:dyDescent="0.3">
      <c r="A137" s="277" t="s">
        <v>321</v>
      </c>
      <c r="B137" s="278"/>
      <c r="C137" s="279"/>
      <c r="D137" s="43"/>
    </row>
    <row r="138" spans="1:4" x14ac:dyDescent="0.25">
      <c r="A138" s="257" t="s">
        <v>105</v>
      </c>
      <c r="B138" s="121" t="s">
        <v>106</v>
      </c>
      <c r="C138" s="234">
        <v>98000</v>
      </c>
      <c r="D138" s="43"/>
    </row>
    <row r="139" spans="1:4" ht="21" x14ac:dyDescent="0.25">
      <c r="A139" s="257"/>
      <c r="B139" s="121" t="s">
        <v>107</v>
      </c>
      <c r="C139" s="233"/>
      <c r="D139" s="160"/>
    </row>
    <row r="140" spans="1:4" ht="21.75" thickBot="1" x14ac:dyDescent="0.3">
      <c r="A140" s="258"/>
      <c r="B140" s="121" t="s">
        <v>108</v>
      </c>
      <c r="C140" s="233"/>
      <c r="D140" s="159"/>
    </row>
    <row r="141" spans="1:4" x14ac:dyDescent="0.25">
      <c r="A141" s="280" t="s">
        <v>109</v>
      </c>
      <c r="B141" s="140" t="s">
        <v>110</v>
      </c>
      <c r="C141" s="233">
        <v>116580</v>
      </c>
      <c r="D141" s="160"/>
    </row>
    <row r="142" spans="1:4" ht="21" x14ac:dyDescent="0.25">
      <c r="A142" s="257"/>
      <c r="B142" s="141" t="s">
        <v>111</v>
      </c>
      <c r="C142" s="233"/>
      <c r="D142" s="43"/>
    </row>
    <row r="143" spans="1:4" ht="21.75" thickBot="1" x14ac:dyDescent="0.3">
      <c r="A143" s="258"/>
      <c r="B143" s="142" t="s">
        <v>112</v>
      </c>
      <c r="C143" s="233"/>
      <c r="D143" s="159"/>
    </row>
    <row r="144" spans="1:4" ht="21" x14ac:dyDescent="0.25">
      <c r="A144" s="255" t="s">
        <v>113</v>
      </c>
      <c r="B144" s="121" t="s">
        <v>114</v>
      </c>
      <c r="C144" s="233">
        <v>34500</v>
      </c>
      <c r="D144" s="160"/>
    </row>
    <row r="145" spans="1:5" ht="15.75" thickBot="1" x14ac:dyDescent="0.3">
      <c r="A145" s="256"/>
      <c r="B145" s="123" t="s">
        <v>115</v>
      </c>
      <c r="C145" s="233"/>
      <c r="D145" s="159"/>
    </row>
    <row r="146" spans="1:5" x14ac:dyDescent="0.25">
      <c r="A146" s="289" t="s">
        <v>116</v>
      </c>
      <c r="B146" s="121" t="s">
        <v>117</v>
      </c>
      <c r="C146" s="233">
        <v>39210</v>
      </c>
      <c r="D146" s="159"/>
    </row>
    <row r="147" spans="1:5" x14ac:dyDescent="0.25">
      <c r="A147" s="255"/>
      <c r="B147" s="121" t="s">
        <v>118</v>
      </c>
      <c r="C147" s="233"/>
      <c r="D147" s="160"/>
    </row>
    <row r="148" spans="1:5" ht="15.75" thickBot="1" x14ac:dyDescent="0.3">
      <c r="A148" s="256"/>
      <c r="B148" s="124">
        <v>173</v>
      </c>
      <c r="C148" s="233"/>
      <c r="D148" s="159"/>
    </row>
    <row r="149" spans="1:5" ht="42.75" thickBot="1" x14ac:dyDescent="0.3">
      <c r="A149" s="122" t="s">
        <v>120</v>
      </c>
      <c r="B149" s="121" t="s">
        <v>121</v>
      </c>
      <c r="C149" s="165">
        <v>89550</v>
      </c>
      <c r="D149" s="160"/>
    </row>
    <row r="150" spans="1:5" ht="15.75" customHeight="1" thickBot="1" x14ac:dyDescent="0.3">
      <c r="A150" s="283" t="s">
        <v>323</v>
      </c>
      <c r="B150" s="284"/>
      <c r="C150" s="285"/>
      <c r="D150" s="43"/>
    </row>
    <row r="151" spans="1:5" ht="15.75" customHeight="1" thickBot="1" x14ac:dyDescent="0.3">
      <c r="A151" s="286" t="s">
        <v>324</v>
      </c>
      <c r="B151" s="287"/>
      <c r="C151" s="288"/>
      <c r="D151" s="43"/>
    </row>
    <row r="152" spans="1:5" ht="31.5" x14ac:dyDescent="0.25">
      <c r="A152" s="280" t="s">
        <v>130</v>
      </c>
      <c r="B152" s="143" t="s">
        <v>131</v>
      </c>
      <c r="C152" s="281">
        <v>17300</v>
      </c>
      <c r="D152" s="159"/>
    </row>
    <row r="153" spans="1:5" ht="32.25" thickBot="1" x14ac:dyDescent="0.3">
      <c r="A153" s="258"/>
      <c r="B153" s="144" t="s">
        <v>132</v>
      </c>
      <c r="C153" s="282"/>
      <c r="D153" s="160"/>
      <c r="E153" s="104"/>
    </row>
    <row r="154" spans="1:5" ht="16.5" customHeight="1" thickBot="1" x14ac:dyDescent="0.3">
      <c r="A154" s="236" t="s">
        <v>325</v>
      </c>
      <c r="B154" s="237"/>
      <c r="C154" s="238"/>
      <c r="D154" s="43"/>
    </row>
    <row r="155" spans="1:5" x14ac:dyDescent="0.25">
      <c r="A155" s="161" t="s">
        <v>156</v>
      </c>
      <c r="B155" s="162"/>
      <c r="C155" s="163">
        <v>2700</v>
      </c>
      <c r="D155" s="43"/>
    </row>
    <row r="156" spans="1:5" x14ac:dyDescent="0.25">
      <c r="A156" s="106" t="s">
        <v>158</v>
      </c>
      <c r="B156" s="103"/>
      <c r="C156" s="164">
        <v>4510</v>
      </c>
      <c r="D156" s="43"/>
    </row>
    <row r="157" spans="1:5" x14ac:dyDescent="0.25">
      <c r="A157" s="106" t="s">
        <v>159</v>
      </c>
      <c r="B157" s="126" t="s">
        <v>157</v>
      </c>
      <c r="C157" s="164">
        <v>7570</v>
      </c>
      <c r="D157" s="43"/>
    </row>
    <row r="158" spans="1:5" x14ac:dyDescent="0.25">
      <c r="A158" s="106" t="s">
        <v>160</v>
      </c>
      <c r="B158" s="127"/>
      <c r="C158" s="164">
        <v>10520</v>
      </c>
      <c r="D158" s="43"/>
    </row>
    <row r="159" spans="1:5" x14ac:dyDescent="0.25">
      <c r="A159" s="106" t="s">
        <v>161</v>
      </c>
      <c r="B159" s="127"/>
      <c r="C159" s="164">
        <v>13710</v>
      </c>
      <c r="D159" s="43"/>
    </row>
    <row r="160" spans="1:5" x14ac:dyDescent="0.25">
      <c r="A160" s="106" t="s">
        <v>162</v>
      </c>
      <c r="B160" s="127"/>
      <c r="C160" s="164">
        <v>16910</v>
      </c>
      <c r="D160" s="43"/>
    </row>
    <row r="161" spans="1:4" ht="15.75" thickBot="1" x14ac:dyDescent="0.3">
      <c r="A161" s="128" t="s">
        <v>163</v>
      </c>
      <c r="B161" s="127"/>
      <c r="C161" s="164">
        <v>32670</v>
      </c>
      <c r="D161" s="43"/>
    </row>
    <row r="162" spans="1:4" ht="15.75" thickBot="1" x14ac:dyDescent="0.3">
      <c r="A162" s="105" t="s">
        <v>329</v>
      </c>
      <c r="B162" s="145"/>
      <c r="C162" s="164">
        <v>2570</v>
      </c>
      <c r="D162" s="43"/>
    </row>
    <row r="163" spans="1:4" ht="15.75" thickBot="1" x14ac:dyDescent="0.3">
      <c r="A163" s="105" t="s">
        <v>330</v>
      </c>
      <c r="B163" s="146"/>
      <c r="C163" s="164">
        <v>4030</v>
      </c>
      <c r="D163" s="43"/>
    </row>
    <row r="164" spans="1:4" ht="15.75" thickBot="1" x14ac:dyDescent="0.3">
      <c r="A164" s="105" t="s">
        <v>331</v>
      </c>
      <c r="B164" s="146" t="s">
        <v>335</v>
      </c>
      <c r="C164" s="164">
        <v>6960</v>
      </c>
      <c r="D164" s="43"/>
    </row>
    <row r="165" spans="1:4" ht="15.75" thickBot="1" x14ac:dyDescent="0.3">
      <c r="A165" s="105" t="s">
        <v>332</v>
      </c>
      <c r="B165" s="146" t="s">
        <v>336</v>
      </c>
      <c r="C165" s="164">
        <v>10010</v>
      </c>
      <c r="D165" s="43"/>
    </row>
    <row r="166" spans="1:4" ht="15.75" thickBot="1" x14ac:dyDescent="0.3">
      <c r="A166" s="105" t="s">
        <v>333</v>
      </c>
      <c r="B166" s="146"/>
      <c r="C166" s="164">
        <v>13060</v>
      </c>
      <c r="D166" s="43"/>
    </row>
    <row r="167" spans="1:4" ht="15.75" thickBot="1" x14ac:dyDescent="0.3">
      <c r="A167" s="105" t="s">
        <v>334</v>
      </c>
      <c r="B167" s="147"/>
      <c r="C167" s="164">
        <v>15870</v>
      </c>
      <c r="D167" s="43"/>
    </row>
    <row r="168" spans="1:4" x14ac:dyDescent="0.25">
      <c r="A168" s="105" t="s">
        <v>164</v>
      </c>
      <c r="B168" s="274" t="s">
        <v>165</v>
      </c>
      <c r="C168" s="164">
        <v>4260</v>
      </c>
      <c r="D168" s="43"/>
    </row>
    <row r="169" spans="1:4" x14ac:dyDescent="0.25">
      <c r="A169" s="106" t="s">
        <v>166</v>
      </c>
      <c r="B169" s="275"/>
      <c r="C169" s="164">
        <v>6240</v>
      </c>
      <c r="D169" s="43"/>
    </row>
    <row r="170" spans="1:4" x14ac:dyDescent="0.25">
      <c r="A170" s="106" t="s">
        <v>167</v>
      </c>
      <c r="B170" s="275"/>
      <c r="C170" s="164">
        <v>7790</v>
      </c>
      <c r="D170" s="43"/>
    </row>
    <row r="171" spans="1:4" x14ac:dyDescent="0.25">
      <c r="A171" s="106" t="s">
        <v>168</v>
      </c>
      <c r="B171" s="275"/>
      <c r="C171" s="164">
        <v>9400</v>
      </c>
      <c r="D171" s="43"/>
    </row>
    <row r="172" spans="1:4" x14ac:dyDescent="0.25">
      <c r="A172" s="106" t="s">
        <v>169</v>
      </c>
      <c r="B172" s="275"/>
      <c r="C172" s="164">
        <v>10880</v>
      </c>
      <c r="D172" s="43"/>
    </row>
    <row r="173" spans="1:4" x14ac:dyDescent="0.25">
      <c r="A173" s="106" t="s">
        <v>170</v>
      </c>
      <c r="B173" s="275"/>
      <c r="C173" s="164">
        <v>12490</v>
      </c>
      <c r="D173" s="43"/>
    </row>
    <row r="174" spans="1:4" x14ac:dyDescent="0.25">
      <c r="A174" s="106" t="s">
        <v>171</v>
      </c>
      <c r="B174" s="275"/>
      <c r="C174" s="164">
        <v>14040</v>
      </c>
      <c r="D174" s="43"/>
    </row>
    <row r="175" spans="1:4" x14ac:dyDescent="0.25">
      <c r="A175" s="106" t="s">
        <v>172</v>
      </c>
      <c r="B175" s="275"/>
      <c r="C175" s="164">
        <v>15980</v>
      </c>
      <c r="D175" s="43"/>
    </row>
    <row r="176" spans="1:4" x14ac:dyDescent="0.25">
      <c r="A176" s="106" t="s">
        <v>173</v>
      </c>
      <c r="B176" s="275"/>
      <c r="C176" s="164">
        <v>17640</v>
      </c>
      <c r="D176" s="43"/>
    </row>
    <row r="177" spans="1:4" ht="15.75" thickBot="1" x14ac:dyDescent="0.3">
      <c r="A177" s="107" t="s">
        <v>174</v>
      </c>
      <c r="B177" s="276"/>
      <c r="C177" s="164">
        <v>19460</v>
      </c>
      <c r="D177" s="43"/>
    </row>
    <row r="178" spans="1:4" x14ac:dyDescent="0.25">
      <c r="A178" s="105" t="s">
        <v>175</v>
      </c>
      <c r="B178" s="274" t="s">
        <v>176</v>
      </c>
      <c r="C178" s="164">
        <v>2820</v>
      </c>
      <c r="D178" s="43"/>
    </row>
    <row r="179" spans="1:4" x14ac:dyDescent="0.25">
      <c r="A179" s="106" t="s">
        <v>177</v>
      </c>
      <c r="B179" s="275"/>
      <c r="C179" s="164">
        <v>4430</v>
      </c>
      <c r="D179" s="43"/>
    </row>
    <row r="180" spans="1:4" x14ac:dyDescent="0.25">
      <c r="A180" s="106" t="s">
        <v>178</v>
      </c>
      <c r="B180" s="275"/>
      <c r="C180" s="164">
        <v>7690</v>
      </c>
      <c r="D180" s="43"/>
    </row>
    <row r="181" spans="1:4" x14ac:dyDescent="0.25">
      <c r="A181" s="106" t="s">
        <v>179</v>
      </c>
      <c r="B181" s="275"/>
      <c r="C181" s="164">
        <v>11020</v>
      </c>
      <c r="D181" s="43"/>
    </row>
    <row r="182" spans="1:4" x14ac:dyDescent="0.25">
      <c r="A182" s="106" t="s">
        <v>180</v>
      </c>
      <c r="B182" s="275"/>
      <c r="C182" s="164">
        <v>14350</v>
      </c>
      <c r="D182" s="43"/>
    </row>
    <row r="183" spans="1:4" x14ac:dyDescent="0.25">
      <c r="A183" s="106" t="s">
        <v>181</v>
      </c>
      <c r="B183" s="275"/>
      <c r="C183" s="164">
        <v>18330</v>
      </c>
      <c r="D183" s="43"/>
    </row>
    <row r="184" spans="1:4" ht="15.75" thickBot="1" x14ac:dyDescent="0.3">
      <c r="A184" s="107" t="s">
        <v>182</v>
      </c>
      <c r="B184" s="276"/>
      <c r="C184" s="164">
        <v>37750</v>
      </c>
      <c r="D184" s="43"/>
    </row>
    <row r="185" spans="1:4" x14ac:dyDescent="0.25">
      <c r="A185" s="105" t="s">
        <v>183</v>
      </c>
      <c r="B185" s="274" t="s">
        <v>184</v>
      </c>
      <c r="C185" s="164">
        <v>2220</v>
      </c>
      <c r="D185" s="43"/>
    </row>
    <row r="186" spans="1:4" x14ac:dyDescent="0.25">
      <c r="A186" s="106" t="s">
        <v>185</v>
      </c>
      <c r="B186" s="275"/>
      <c r="C186" s="164">
        <v>3570</v>
      </c>
      <c r="D186" s="43"/>
    </row>
    <row r="187" spans="1:4" x14ac:dyDescent="0.25">
      <c r="A187" s="106" t="s">
        <v>186</v>
      </c>
      <c r="B187" s="275"/>
      <c r="C187" s="164">
        <v>6260</v>
      </c>
      <c r="D187" s="43"/>
    </row>
    <row r="188" spans="1:4" x14ac:dyDescent="0.25">
      <c r="A188" s="106" t="s">
        <v>187</v>
      </c>
      <c r="B188" s="275"/>
      <c r="C188" s="164">
        <v>8950</v>
      </c>
      <c r="D188" s="43"/>
    </row>
    <row r="189" spans="1:4" x14ac:dyDescent="0.25">
      <c r="A189" s="106" t="s">
        <v>188</v>
      </c>
      <c r="B189" s="275"/>
      <c r="C189" s="164">
        <v>10560</v>
      </c>
      <c r="D189" s="43"/>
    </row>
    <row r="190" spans="1:4" ht="15.75" thickBot="1" x14ac:dyDescent="0.3">
      <c r="A190" s="107" t="s">
        <v>189</v>
      </c>
      <c r="B190" s="276"/>
      <c r="C190" s="164">
        <v>13970</v>
      </c>
      <c r="D190" s="43"/>
    </row>
    <row r="191" spans="1:4" x14ac:dyDescent="0.25">
      <c r="A191" s="105" t="s">
        <v>190</v>
      </c>
      <c r="B191" s="274" t="s">
        <v>191</v>
      </c>
      <c r="C191" s="164">
        <v>2700</v>
      </c>
      <c r="D191" s="43"/>
    </row>
    <row r="192" spans="1:4" x14ac:dyDescent="0.25">
      <c r="A192" s="106" t="s">
        <v>192</v>
      </c>
      <c r="B192" s="275"/>
      <c r="C192" s="164">
        <v>4510</v>
      </c>
      <c r="D192" s="43"/>
    </row>
    <row r="193" spans="1:4" x14ac:dyDescent="0.25">
      <c r="A193" s="106" t="s">
        <v>193</v>
      </c>
      <c r="B193" s="275"/>
      <c r="C193" s="164">
        <v>7570</v>
      </c>
      <c r="D193" s="43"/>
    </row>
    <row r="194" spans="1:4" x14ac:dyDescent="0.25">
      <c r="A194" s="106" t="s">
        <v>194</v>
      </c>
      <c r="B194" s="275"/>
      <c r="C194" s="164">
        <v>10520</v>
      </c>
      <c r="D194" s="43"/>
    </row>
    <row r="195" spans="1:4" x14ac:dyDescent="0.25">
      <c r="A195" s="106" t="s">
        <v>195</v>
      </c>
      <c r="B195" s="275"/>
      <c r="C195" s="164">
        <v>13710</v>
      </c>
      <c r="D195" s="43"/>
    </row>
    <row r="196" spans="1:4" ht="15.75" thickBot="1" x14ac:dyDescent="0.3">
      <c r="A196" s="107" t="s">
        <v>196</v>
      </c>
      <c r="B196" s="276"/>
      <c r="C196" s="165">
        <v>16910</v>
      </c>
      <c r="D196" s="43"/>
    </row>
    <row r="197" spans="1:4" ht="16.5" customHeight="1" thickBot="1" x14ac:dyDescent="0.3">
      <c r="A197" s="227" t="s">
        <v>326</v>
      </c>
      <c r="B197" s="228"/>
      <c r="C197" s="229"/>
      <c r="D197" s="43"/>
    </row>
    <row r="198" spans="1:4" x14ac:dyDescent="0.25">
      <c r="A198" s="151" t="s">
        <v>198</v>
      </c>
      <c r="B198" s="274" t="s">
        <v>199</v>
      </c>
      <c r="C198" s="163">
        <v>1670</v>
      </c>
      <c r="D198" s="43"/>
    </row>
    <row r="199" spans="1:4" ht="15.75" thickBot="1" x14ac:dyDescent="0.3">
      <c r="A199" s="152" t="s">
        <v>200</v>
      </c>
      <c r="B199" s="276"/>
      <c r="C199" s="164">
        <v>1860</v>
      </c>
      <c r="D199" s="43"/>
    </row>
    <row r="200" spans="1:4" x14ac:dyDescent="0.25">
      <c r="A200" s="152" t="s">
        <v>201</v>
      </c>
      <c r="B200" s="274" t="s">
        <v>202</v>
      </c>
      <c r="C200" s="164">
        <v>3080</v>
      </c>
      <c r="D200" s="43"/>
    </row>
    <row r="201" spans="1:4" ht="15.75" thickBot="1" x14ac:dyDescent="0.3">
      <c r="A201" s="152" t="s">
        <v>203</v>
      </c>
      <c r="B201" s="276"/>
      <c r="C201" s="164">
        <v>3270</v>
      </c>
      <c r="D201" s="43"/>
    </row>
    <row r="202" spans="1:4" ht="21.75" thickBot="1" x14ac:dyDescent="0.3">
      <c r="A202" s="152" t="s">
        <v>204</v>
      </c>
      <c r="B202" s="129" t="s">
        <v>205</v>
      </c>
      <c r="C202" s="164">
        <v>1930</v>
      </c>
      <c r="D202" s="43"/>
    </row>
    <row r="203" spans="1:4" ht="15.75" thickBot="1" x14ac:dyDescent="0.3">
      <c r="A203" s="152" t="s">
        <v>206</v>
      </c>
      <c r="B203" s="129" t="s">
        <v>207</v>
      </c>
      <c r="C203" s="164">
        <v>2500</v>
      </c>
      <c r="D203" s="43"/>
    </row>
    <row r="204" spans="1:4" ht="21.75" thickBot="1" x14ac:dyDescent="0.3">
      <c r="A204" s="152" t="s">
        <v>208</v>
      </c>
      <c r="B204" s="130" t="s">
        <v>209</v>
      </c>
      <c r="C204" s="164">
        <v>5500</v>
      </c>
      <c r="D204" s="159"/>
    </row>
    <row r="205" spans="1:4" ht="15.75" thickBot="1" x14ac:dyDescent="0.3">
      <c r="A205" s="152" t="s">
        <v>210</v>
      </c>
      <c r="B205" s="130" t="s">
        <v>211</v>
      </c>
      <c r="C205" s="164">
        <v>2820</v>
      </c>
      <c r="D205" s="159"/>
    </row>
    <row r="206" spans="1:4" x14ac:dyDescent="0.25">
      <c r="A206" s="152" t="s">
        <v>214</v>
      </c>
      <c r="B206" s="148" t="s">
        <v>215</v>
      </c>
      <c r="C206" s="164">
        <v>1540</v>
      </c>
      <c r="D206" s="159"/>
    </row>
    <row r="207" spans="1:4" ht="15.75" thickBot="1" x14ac:dyDescent="0.3">
      <c r="A207" s="153" t="s">
        <v>216</v>
      </c>
      <c r="B207" s="149" t="s">
        <v>217</v>
      </c>
      <c r="C207" s="165">
        <v>1540</v>
      </c>
      <c r="D207" s="159"/>
    </row>
    <row r="208" spans="1:4" ht="16.5" customHeight="1" thickBot="1" x14ac:dyDescent="0.3">
      <c r="A208" s="239" t="s">
        <v>327</v>
      </c>
      <c r="B208" s="237"/>
      <c r="C208" s="229"/>
      <c r="D208" s="159"/>
    </row>
    <row r="209" spans="1:4" x14ac:dyDescent="0.25">
      <c r="A209" s="108" t="s">
        <v>219</v>
      </c>
      <c r="B209" s="240" t="s">
        <v>221</v>
      </c>
      <c r="C209" s="234">
        <v>2780</v>
      </c>
      <c r="D209" s="291"/>
    </row>
    <row r="210" spans="1:4" ht="15.75" thickBot="1" x14ac:dyDescent="0.3">
      <c r="A210" s="131" t="s">
        <v>220</v>
      </c>
      <c r="B210" s="241"/>
      <c r="C210" s="233"/>
      <c r="D210" s="291"/>
    </row>
    <row r="211" spans="1:4" x14ac:dyDescent="0.25">
      <c r="A211" s="108" t="s">
        <v>219</v>
      </c>
      <c r="B211" s="240" t="s">
        <v>223</v>
      </c>
      <c r="C211" s="233">
        <v>2930</v>
      </c>
      <c r="D211" s="291"/>
    </row>
    <row r="212" spans="1:4" ht="15.75" thickBot="1" x14ac:dyDescent="0.3">
      <c r="A212" s="131" t="s">
        <v>222</v>
      </c>
      <c r="B212" s="241"/>
      <c r="C212" s="233"/>
      <c r="D212" s="291"/>
    </row>
    <row r="213" spans="1:4" x14ac:dyDescent="0.25">
      <c r="A213" s="108" t="s">
        <v>219</v>
      </c>
      <c r="B213" s="240" t="s">
        <v>225</v>
      </c>
      <c r="C213" s="233">
        <v>3550</v>
      </c>
      <c r="D213" s="291"/>
    </row>
    <row r="214" spans="1:4" ht="15.75" thickBot="1" x14ac:dyDescent="0.3">
      <c r="A214" s="131" t="s">
        <v>224</v>
      </c>
      <c r="B214" s="241"/>
      <c r="C214" s="233"/>
      <c r="D214" s="291"/>
    </row>
    <row r="215" spans="1:4" x14ac:dyDescent="0.25">
      <c r="A215" s="108" t="s">
        <v>219</v>
      </c>
      <c r="B215" s="240" t="s">
        <v>227</v>
      </c>
      <c r="C215" s="233">
        <v>3090</v>
      </c>
      <c r="D215" s="291"/>
    </row>
    <row r="216" spans="1:4" ht="15.75" thickBot="1" x14ac:dyDescent="0.3">
      <c r="A216" s="131" t="s">
        <v>226</v>
      </c>
      <c r="B216" s="241"/>
      <c r="C216" s="233"/>
      <c r="D216" s="291"/>
    </row>
    <row r="217" spans="1:4" x14ac:dyDescent="0.25">
      <c r="A217" s="108" t="s">
        <v>219</v>
      </c>
      <c r="B217" s="240" t="s">
        <v>229</v>
      </c>
      <c r="C217" s="233">
        <v>4620</v>
      </c>
      <c r="D217" s="291"/>
    </row>
    <row r="218" spans="1:4" ht="15.75" thickBot="1" x14ac:dyDescent="0.3">
      <c r="A218" s="131" t="s">
        <v>228</v>
      </c>
      <c r="B218" s="241"/>
      <c r="C218" s="233"/>
      <c r="D218" s="291"/>
    </row>
    <row r="219" spans="1:4" x14ac:dyDescent="0.25">
      <c r="A219" s="108" t="s">
        <v>219</v>
      </c>
      <c r="B219" s="240" t="s">
        <v>231</v>
      </c>
      <c r="C219" s="233">
        <v>8010</v>
      </c>
      <c r="D219" s="291"/>
    </row>
    <row r="220" spans="1:4" ht="15.75" thickBot="1" x14ac:dyDescent="0.3">
      <c r="A220" s="131" t="s">
        <v>230</v>
      </c>
      <c r="B220" s="241"/>
      <c r="C220" s="233"/>
      <c r="D220" s="291"/>
    </row>
    <row r="221" spans="1:4" x14ac:dyDescent="0.25">
      <c r="A221" s="108" t="s">
        <v>219</v>
      </c>
      <c r="B221" s="240" t="s">
        <v>233</v>
      </c>
      <c r="C221" s="233">
        <v>690</v>
      </c>
      <c r="D221" s="291"/>
    </row>
    <row r="222" spans="1:4" ht="15.75" thickBot="1" x14ac:dyDescent="0.3">
      <c r="A222" s="131" t="s">
        <v>232</v>
      </c>
      <c r="B222" s="241"/>
      <c r="C222" s="233"/>
      <c r="D222" s="291"/>
    </row>
    <row r="223" spans="1:4" x14ac:dyDescent="0.25">
      <c r="A223" s="108" t="s">
        <v>219</v>
      </c>
      <c r="B223" s="240" t="s">
        <v>235</v>
      </c>
      <c r="C223" s="233">
        <v>760</v>
      </c>
      <c r="D223" s="291"/>
    </row>
    <row r="224" spans="1:4" ht="15.75" thickBot="1" x14ac:dyDescent="0.3">
      <c r="A224" s="131" t="s">
        <v>234</v>
      </c>
      <c r="B224" s="241"/>
      <c r="C224" s="233"/>
      <c r="D224" s="291"/>
    </row>
    <row r="225" spans="1:4" x14ac:dyDescent="0.25">
      <c r="A225" s="108" t="s">
        <v>219</v>
      </c>
      <c r="B225" s="240" t="s">
        <v>237</v>
      </c>
      <c r="C225" s="233">
        <v>4230</v>
      </c>
      <c r="D225" s="291"/>
    </row>
    <row r="226" spans="1:4" ht="15.75" thickBot="1" x14ac:dyDescent="0.3">
      <c r="A226" s="109" t="s">
        <v>236</v>
      </c>
      <c r="B226" s="241"/>
      <c r="C226" s="233"/>
      <c r="D226" s="291"/>
    </row>
    <row r="227" spans="1:4" ht="14.45" customHeight="1" x14ac:dyDescent="0.25">
      <c r="A227" s="108" t="s">
        <v>219</v>
      </c>
      <c r="B227" s="240" t="s">
        <v>302</v>
      </c>
      <c r="C227" s="233">
        <v>5090</v>
      </c>
      <c r="D227" s="291"/>
    </row>
    <row r="228" spans="1:4" ht="15.75" thickBot="1" x14ac:dyDescent="0.3">
      <c r="A228" s="109" t="s">
        <v>301</v>
      </c>
      <c r="B228" s="241"/>
      <c r="C228" s="233"/>
      <c r="D228" s="291"/>
    </row>
    <row r="229" spans="1:4" ht="14.45" customHeight="1" x14ac:dyDescent="0.25">
      <c r="A229" s="108" t="s">
        <v>219</v>
      </c>
      <c r="B229" s="240" t="s">
        <v>306</v>
      </c>
      <c r="C229" s="233">
        <v>5560</v>
      </c>
      <c r="D229" s="291"/>
    </row>
    <row r="230" spans="1:4" ht="15.75" thickBot="1" x14ac:dyDescent="0.3">
      <c r="A230" s="109" t="s">
        <v>305</v>
      </c>
      <c r="B230" s="241"/>
      <c r="C230" s="233"/>
      <c r="D230" s="291"/>
    </row>
    <row r="231" spans="1:4" x14ac:dyDescent="0.25">
      <c r="A231" s="108" t="s">
        <v>219</v>
      </c>
      <c r="B231" s="240" t="s">
        <v>239</v>
      </c>
      <c r="C231" s="233">
        <v>4400</v>
      </c>
      <c r="D231" s="291"/>
    </row>
    <row r="232" spans="1:4" ht="16.899999999999999" customHeight="1" thickBot="1" x14ac:dyDescent="0.3">
      <c r="A232" s="109" t="s">
        <v>238</v>
      </c>
      <c r="B232" s="241"/>
      <c r="C232" s="233"/>
      <c r="D232" s="291"/>
    </row>
    <row r="233" spans="1:4" x14ac:dyDescent="0.25">
      <c r="A233" s="108" t="s">
        <v>219</v>
      </c>
      <c r="B233" s="240" t="s">
        <v>241</v>
      </c>
      <c r="C233" s="233">
        <v>4860</v>
      </c>
      <c r="D233" s="291"/>
    </row>
    <row r="234" spans="1:4" ht="18" customHeight="1" thickBot="1" x14ac:dyDescent="0.3">
      <c r="A234" s="109" t="s">
        <v>240</v>
      </c>
      <c r="B234" s="241"/>
      <c r="C234" s="233"/>
      <c r="D234" s="291"/>
    </row>
    <row r="235" spans="1:4" x14ac:dyDescent="0.25">
      <c r="A235" s="111" t="s">
        <v>219</v>
      </c>
      <c r="B235" s="240" t="s">
        <v>243</v>
      </c>
      <c r="C235" s="233">
        <v>5560</v>
      </c>
      <c r="D235" s="291"/>
    </row>
    <row r="236" spans="1:4" ht="19.149999999999999" customHeight="1" thickBot="1" x14ac:dyDescent="0.3">
      <c r="A236" s="109" t="s">
        <v>242</v>
      </c>
      <c r="B236" s="241"/>
      <c r="C236" s="233"/>
      <c r="D236" s="291"/>
    </row>
    <row r="237" spans="1:4" x14ac:dyDescent="0.25">
      <c r="A237" s="111" t="s">
        <v>244</v>
      </c>
      <c r="B237" s="240" t="s">
        <v>290</v>
      </c>
      <c r="C237" s="233">
        <v>5130</v>
      </c>
      <c r="D237" s="291"/>
    </row>
    <row r="238" spans="1:4" ht="18" customHeight="1" thickBot="1" x14ac:dyDescent="0.3">
      <c r="A238" s="109" t="s">
        <v>245</v>
      </c>
      <c r="B238" s="241"/>
      <c r="C238" s="233"/>
      <c r="D238" s="291"/>
    </row>
    <row r="239" spans="1:4" x14ac:dyDescent="0.25">
      <c r="A239" s="111" t="s">
        <v>219</v>
      </c>
      <c r="B239" s="240" t="s">
        <v>248</v>
      </c>
      <c r="C239" s="233">
        <v>5240</v>
      </c>
      <c r="D239" s="291"/>
    </row>
    <row r="240" spans="1:4" ht="21" customHeight="1" thickBot="1" x14ac:dyDescent="0.3">
      <c r="A240" s="110" t="s">
        <v>247</v>
      </c>
      <c r="B240" s="241"/>
      <c r="C240" s="233"/>
      <c r="D240" s="291"/>
    </row>
    <row r="241" spans="1:4" x14ac:dyDescent="0.25">
      <c r="A241" s="111" t="s">
        <v>219</v>
      </c>
      <c r="B241" s="240" t="s">
        <v>250</v>
      </c>
      <c r="C241" s="233">
        <v>6920</v>
      </c>
      <c r="D241" s="291"/>
    </row>
    <row r="242" spans="1:4" ht="19.149999999999999" customHeight="1" thickBot="1" x14ac:dyDescent="0.3">
      <c r="A242" s="110" t="s">
        <v>249</v>
      </c>
      <c r="B242" s="241"/>
      <c r="C242" s="233"/>
      <c r="D242" s="291"/>
    </row>
    <row r="243" spans="1:4" x14ac:dyDescent="0.25">
      <c r="A243" s="111" t="s">
        <v>219</v>
      </c>
      <c r="B243" s="240" t="s">
        <v>252</v>
      </c>
      <c r="C243" s="233">
        <v>5160</v>
      </c>
      <c r="D243" s="291"/>
    </row>
    <row r="244" spans="1:4" ht="18" customHeight="1" thickBot="1" x14ac:dyDescent="0.3">
      <c r="A244" s="110" t="s">
        <v>251</v>
      </c>
      <c r="B244" s="241"/>
      <c r="C244" s="233"/>
      <c r="D244" s="291"/>
    </row>
    <row r="245" spans="1:4" ht="18" customHeight="1" x14ac:dyDescent="0.25">
      <c r="A245" s="111" t="s">
        <v>219</v>
      </c>
      <c r="B245" s="240" t="s">
        <v>303</v>
      </c>
      <c r="C245" s="233">
        <v>7230</v>
      </c>
      <c r="D245" s="291"/>
    </row>
    <row r="246" spans="1:4" ht="18" customHeight="1" thickBot="1" x14ac:dyDescent="0.3">
      <c r="A246" s="110" t="s">
        <v>304</v>
      </c>
      <c r="B246" s="241"/>
      <c r="C246" s="233"/>
      <c r="D246" s="291"/>
    </row>
    <row r="247" spans="1:4" x14ac:dyDescent="0.25">
      <c r="A247" s="111" t="s">
        <v>219</v>
      </c>
      <c r="B247" s="240" t="s">
        <v>254</v>
      </c>
      <c r="C247" s="242" t="s">
        <v>277</v>
      </c>
      <c r="D247" s="159"/>
    </row>
    <row r="248" spans="1:4" ht="15.75" thickBot="1" x14ac:dyDescent="0.3">
      <c r="A248" s="110" t="s">
        <v>253</v>
      </c>
      <c r="B248" s="241"/>
      <c r="C248" s="242"/>
      <c r="D248" s="159"/>
    </row>
    <row r="249" spans="1:4" x14ac:dyDescent="0.25">
      <c r="A249" s="111" t="s">
        <v>219</v>
      </c>
      <c r="B249" s="240" t="s">
        <v>256</v>
      </c>
      <c r="C249" s="242" t="s">
        <v>277</v>
      </c>
      <c r="D249" s="159"/>
    </row>
    <row r="250" spans="1:4" ht="15.75" thickBot="1" x14ac:dyDescent="0.3">
      <c r="A250" s="110" t="s">
        <v>255</v>
      </c>
      <c r="B250" s="241"/>
      <c r="C250" s="242"/>
      <c r="D250" s="159"/>
    </row>
    <row r="251" spans="1:4" x14ac:dyDescent="0.25">
      <c r="A251" s="111" t="s">
        <v>219</v>
      </c>
      <c r="B251" s="240" t="s">
        <v>258</v>
      </c>
      <c r="C251" s="242" t="s">
        <v>277</v>
      </c>
      <c r="D251" s="159"/>
    </row>
    <row r="252" spans="1:4" ht="15.75" thickBot="1" x14ac:dyDescent="0.3">
      <c r="A252" s="110" t="s">
        <v>257</v>
      </c>
      <c r="B252" s="241"/>
      <c r="C252" s="242"/>
      <c r="D252" s="159"/>
    </row>
    <row r="253" spans="1:4" ht="14.45" customHeight="1" x14ac:dyDescent="0.25">
      <c r="A253" s="111" t="s">
        <v>219</v>
      </c>
      <c r="B253" s="240" t="s">
        <v>308</v>
      </c>
      <c r="C253" s="233">
        <v>5010</v>
      </c>
      <c r="D253" s="291"/>
    </row>
    <row r="254" spans="1:4" ht="15.75" thickBot="1" x14ac:dyDescent="0.3">
      <c r="A254" s="110" t="s">
        <v>307</v>
      </c>
      <c r="B254" s="241"/>
      <c r="C254" s="233"/>
      <c r="D254" s="291"/>
    </row>
    <row r="255" spans="1:4" x14ac:dyDescent="0.25">
      <c r="A255" s="108" t="s">
        <v>219</v>
      </c>
      <c r="B255" s="240" t="s">
        <v>309</v>
      </c>
      <c r="C255" s="233">
        <v>6470</v>
      </c>
      <c r="D255" s="291"/>
    </row>
    <row r="256" spans="1:4" ht="15.75" thickBot="1" x14ac:dyDescent="0.3">
      <c r="A256" s="109" t="s">
        <v>259</v>
      </c>
      <c r="B256" s="241"/>
      <c r="C256" s="233"/>
      <c r="D256" s="291"/>
    </row>
    <row r="257" spans="1:4" x14ac:dyDescent="0.25">
      <c r="A257" s="108" t="s">
        <v>219</v>
      </c>
      <c r="B257" s="240" t="s">
        <v>262</v>
      </c>
      <c r="C257" s="233">
        <v>8460</v>
      </c>
      <c r="D257" s="291"/>
    </row>
    <row r="258" spans="1:4" ht="15.75" thickBot="1" x14ac:dyDescent="0.3">
      <c r="A258" s="109" t="s">
        <v>261</v>
      </c>
      <c r="B258" s="241"/>
      <c r="C258" s="233"/>
      <c r="D258" s="291"/>
    </row>
    <row r="259" spans="1:4" x14ac:dyDescent="0.25">
      <c r="A259" s="108" t="s">
        <v>219</v>
      </c>
      <c r="B259" s="240" t="s">
        <v>264</v>
      </c>
      <c r="C259" s="233">
        <v>9700</v>
      </c>
      <c r="D259" s="291"/>
    </row>
    <row r="260" spans="1:4" ht="18.600000000000001" customHeight="1" thickBot="1" x14ac:dyDescent="0.3">
      <c r="A260" s="109" t="s">
        <v>263</v>
      </c>
      <c r="B260" s="241"/>
      <c r="C260" s="235"/>
      <c r="D260" s="291"/>
    </row>
    <row r="261" spans="1:4" ht="16.5" customHeight="1" thickBot="1" x14ac:dyDescent="0.3">
      <c r="A261" s="227" t="s">
        <v>328</v>
      </c>
      <c r="B261" s="228"/>
      <c r="C261" s="229"/>
      <c r="D261" s="159"/>
    </row>
    <row r="262" spans="1:4" ht="21.75" thickBot="1" x14ac:dyDescent="0.3">
      <c r="A262" s="114" t="s">
        <v>266</v>
      </c>
      <c r="B262" s="154" t="s">
        <v>267</v>
      </c>
      <c r="C262" s="163">
        <v>7690</v>
      </c>
      <c r="D262" s="159"/>
    </row>
    <row r="263" spans="1:4" ht="21.75" thickBot="1" x14ac:dyDescent="0.3">
      <c r="A263" s="125" t="s">
        <v>268</v>
      </c>
      <c r="B263" s="150" t="s">
        <v>269</v>
      </c>
      <c r="C263" s="164">
        <v>6200</v>
      </c>
      <c r="D263" s="159"/>
    </row>
    <row r="264" spans="1:4" ht="21.75" thickBot="1" x14ac:dyDescent="0.3">
      <c r="A264" s="125" t="s">
        <v>270</v>
      </c>
      <c r="B264" s="150" t="s">
        <v>271</v>
      </c>
      <c r="C264" s="164">
        <v>14630</v>
      </c>
      <c r="D264" s="159"/>
    </row>
    <row r="265" spans="1:4" ht="21.75" thickBot="1" x14ac:dyDescent="0.3">
      <c r="A265" s="125" t="s">
        <v>272</v>
      </c>
      <c r="B265" s="150" t="s">
        <v>273</v>
      </c>
      <c r="C265" s="164">
        <v>6510</v>
      </c>
      <c r="D265" s="159"/>
    </row>
    <row r="266" spans="1:4" ht="21.75" thickBot="1" x14ac:dyDescent="0.3">
      <c r="A266" s="125" t="s">
        <v>274</v>
      </c>
      <c r="B266" s="150" t="s">
        <v>275</v>
      </c>
      <c r="C266" s="165">
        <v>3810</v>
      </c>
      <c r="D266" s="159"/>
    </row>
    <row r="267" spans="1:4" x14ac:dyDescent="0.25">
      <c r="D267" s="43"/>
    </row>
    <row r="268" spans="1:4" x14ac:dyDescent="0.25">
      <c r="D268" s="43"/>
    </row>
    <row r="269" spans="1:4" x14ac:dyDescent="0.25">
      <c r="A269" s="103"/>
      <c r="B269" s="80"/>
      <c r="D269" s="43"/>
    </row>
    <row r="270" spans="1:4" x14ac:dyDescent="0.25">
      <c r="A270" s="103"/>
      <c r="B270" s="80"/>
      <c r="D270" s="43"/>
    </row>
    <row r="271" spans="1:4" x14ac:dyDescent="0.25">
      <c r="A271" s="103"/>
      <c r="B271" s="80"/>
      <c r="D271" s="43"/>
    </row>
    <row r="272" spans="1:4" x14ac:dyDescent="0.25">
      <c r="D272" s="43"/>
    </row>
    <row r="273" spans="1:1" x14ac:dyDescent="0.25">
      <c r="A273" t="s">
        <v>338</v>
      </c>
    </row>
  </sheetData>
  <mergeCells count="142">
    <mergeCell ref="D245:D246"/>
    <mergeCell ref="D253:D254"/>
    <mergeCell ref="D255:D256"/>
    <mergeCell ref="D257:D258"/>
    <mergeCell ref="D259:D260"/>
    <mergeCell ref="D227:D228"/>
    <mergeCell ref="D229:D230"/>
    <mergeCell ref="D231:D232"/>
    <mergeCell ref="D233:D234"/>
    <mergeCell ref="D235:D236"/>
    <mergeCell ref="D237:D238"/>
    <mergeCell ref="D239:D240"/>
    <mergeCell ref="D241:D242"/>
    <mergeCell ref="D243:D244"/>
    <mergeCell ref="D215:D216"/>
    <mergeCell ref="D213:D214"/>
    <mergeCell ref="D211:D212"/>
    <mergeCell ref="D209:D210"/>
    <mergeCell ref="D217:D218"/>
    <mergeCell ref="D219:D220"/>
    <mergeCell ref="D221:D222"/>
    <mergeCell ref="D223:D224"/>
    <mergeCell ref="D225:D226"/>
    <mergeCell ref="B227:B228"/>
    <mergeCell ref="C227:C228"/>
    <mergeCell ref="C245:C246"/>
    <mergeCell ref="B245:B246"/>
    <mergeCell ref="C124:C126"/>
    <mergeCell ref="C144:C145"/>
    <mergeCell ref="B198:B199"/>
    <mergeCell ref="B200:B201"/>
    <mergeCell ref="C221:C222"/>
    <mergeCell ref="B229:B230"/>
    <mergeCell ref="C141:C143"/>
    <mergeCell ref="A11:B11"/>
    <mergeCell ref="C64:C66"/>
    <mergeCell ref="C74:C76"/>
    <mergeCell ref="C67:C73"/>
    <mergeCell ref="C101:C103"/>
    <mergeCell ref="B209:B210"/>
    <mergeCell ref="C209:C210"/>
    <mergeCell ref="B168:B177"/>
    <mergeCell ref="B178:B184"/>
    <mergeCell ref="B185:B190"/>
    <mergeCell ref="B191:B196"/>
    <mergeCell ref="A137:C137"/>
    <mergeCell ref="A152:A153"/>
    <mergeCell ref="C152:C153"/>
    <mergeCell ref="A150:C150"/>
    <mergeCell ref="A151:C151"/>
    <mergeCell ref="A146:A148"/>
    <mergeCell ref="C146:C148"/>
    <mergeCell ref="A141:A143"/>
    <mergeCell ref="C92:C94"/>
    <mergeCell ref="A77:C77"/>
    <mergeCell ref="C78:C80"/>
    <mergeCell ref="C81:C83"/>
    <mergeCell ref="C84:C86"/>
    <mergeCell ref="C134:C136"/>
    <mergeCell ref="C13:C24"/>
    <mergeCell ref="C28:C30"/>
    <mergeCell ref="C88:C91"/>
    <mergeCell ref="C41:C43"/>
    <mergeCell ref="C44:C46"/>
    <mergeCell ref="C31:C34"/>
    <mergeCell ref="C35:C37"/>
    <mergeCell ref="C38:C40"/>
    <mergeCell ref="A60:C60"/>
    <mergeCell ref="C61:C63"/>
    <mergeCell ref="C25:C27"/>
    <mergeCell ref="C104:C106"/>
    <mergeCell ref="C98:C100"/>
    <mergeCell ref="C111:C113"/>
    <mergeCell ref="C107:C110"/>
    <mergeCell ref="C219:C220"/>
    <mergeCell ref="B221:B222"/>
    <mergeCell ref="A144:A145"/>
    <mergeCell ref="B217:B218"/>
    <mergeCell ref="C217:C218"/>
    <mergeCell ref="B211:B212"/>
    <mergeCell ref="C211:C212"/>
    <mergeCell ref="B213:B214"/>
    <mergeCell ref="C213:C214"/>
    <mergeCell ref="B215:B216"/>
    <mergeCell ref="C215:C216"/>
    <mergeCell ref="A138:A140"/>
    <mergeCell ref="C138:C140"/>
    <mergeCell ref="C127:C129"/>
    <mergeCell ref="C130:C132"/>
    <mergeCell ref="C114:C116"/>
    <mergeCell ref="C121:C123"/>
    <mergeCell ref="A117:C117"/>
    <mergeCell ref="C118:C120"/>
    <mergeCell ref="A133:C133"/>
    <mergeCell ref="C247:C248"/>
    <mergeCell ref="B249:B250"/>
    <mergeCell ref="C249:C250"/>
    <mergeCell ref="B251:B252"/>
    <mergeCell ref="C251:C252"/>
    <mergeCell ref="B253:B254"/>
    <mergeCell ref="C253:C254"/>
    <mergeCell ref="A10:C10"/>
    <mergeCell ref="A12:C12"/>
    <mergeCell ref="A47:C47"/>
    <mergeCell ref="A87:C87"/>
    <mergeCell ref="B239:B240"/>
    <mergeCell ref="C237:C238"/>
    <mergeCell ref="B231:B232"/>
    <mergeCell ref="C231:C232"/>
    <mergeCell ref="B233:B234"/>
    <mergeCell ref="C233:C234"/>
    <mergeCell ref="B223:B224"/>
    <mergeCell ref="C223:C224"/>
    <mergeCell ref="B225:B226"/>
    <mergeCell ref="C225:C226"/>
    <mergeCell ref="C229:C230"/>
    <mergeCell ref="B219:B220"/>
    <mergeCell ref="C95:C97"/>
    <mergeCell ref="A261:C261"/>
    <mergeCell ref="B35:B37"/>
    <mergeCell ref="B38:B40"/>
    <mergeCell ref="C53:C55"/>
    <mergeCell ref="C48:C52"/>
    <mergeCell ref="C56:C59"/>
    <mergeCell ref="A154:C154"/>
    <mergeCell ref="A197:C197"/>
    <mergeCell ref="A208:C208"/>
    <mergeCell ref="B259:B260"/>
    <mergeCell ref="C259:C260"/>
    <mergeCell ref="C239:C240"/>
    <mergeCell ref="B241:B242"/>
    <mergeCell ref="C241:C242"/>
    <mergeCell ref="B235:B236"/>
    <mergeCell ref="C235:C236"/>
    <mergeCell ref="B237:B238"/>
    <mergeCell ref="B257:B258"/>
    <mergeCell ref="C257:C258"/>
    <mergeCell ref="B255:B256"/>
    <mergeCell ref="C255:C256"/>
    <mergeCell ref="B243:B244"/>
    <mergeCell ref="C243:C244"/>
    <mergeCell ref="B247:B248"/>
  </mergeCells>
  <pageMargins left="0.25" right="0.25" top="0.75" bottom="0.75" header="0.3" footer="0.3"/>
  <pageSetup paperSize="9" scale="8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PTO</dc:creator>
  <cp:lastModifiedBy>User1</cp:lastModifiedBy>
  <cp:lastPrinted>2024-04-08T07:34:46Z</cp:lastPrinted>
  <dcterms:created xsi:type="dcterms:W3CDTF">2015-06-05T18:19:34Z</dcterms:created>
  <dcterms:modified xsi:type="dcterms:W3CDTF">2026-06-09T11:48:49Z</dcterms:modified>
</cp:coreProperties>
</file>